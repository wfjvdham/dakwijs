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4.xml.rels" ContentType="application/vnd.openxmlformats-package.relationships+xml"/>
  <Override PartName="/xl/worksheets/sheet6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put" sheetId="1" state="visible" r:id="rId3"/>
    <sheet name="Output" sheetId="2" state="visible" r:id="rId4"/>
    <sheet name="Legplan" sheetId="3" state="visible" r:id="rId5"/>
    <sheet name="LP2021V2" sheetId="4" state="visible" r:id="rId6"/>
    <sheet name="Aantal rollen" sheetId="5" state="visible" r:id="rId7"/>
    <sheet name="DATA" sheetId="6" state="hidden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<sst xmlns="http://schemas.openxmlformats.org/spreadsheetml/2006/main" count="6696" uniqueCount="4075">
  <si>
    <t xml:space="preserve">Datum:</t>
  </si>
  <si>
    <t xml:space="preserve">Project:</t>
  </si>
  <si>
    <t xml:space="preserve">Opdrachtgever:</t>
  </si>
  <si>
    <t xml:space="preserve">Benodigde informatie:</t>
  </si>
  <si>
    <t xml:space="preserve">Variabelen:</t>
  </si>
  <si>
    <t xml:space="preserve">Berekening:</t>
  </si>
  <si>
    <t xml:space="preserve">Indak / Opdak</t>
  </si>
  <si>
    <t xml:space="preserve">Indak</t>
  </si>
  <si>
    <t xml:space="preserve">Rail [mm]</t>
  </si>
  <si>
    <t xml:space="preserve">Lengte rail</t>
  </si>
  <si>
    <t xml:space="preserve">Rol [mm]</t>
  </si>
  <si>
    <t xml:space="preserve">1140 x 10000</t>
  </si>
  <si>
    <t xml:space="preserve">Aantal rijen rails</t>
  </si>
  <si>
    <t xml:space="preserve">Landscape / Portrait</t>
  </si>
  <si>
    <t xml:space="preserve">Landscape</t>
  </si>
  <si>
    <t xml:space="preserve">Eindklem [mm]</t>
  </si>
  <si>
    <t xml:space="preserve">Totale lengte rails</t>
  </si>
  <si>
    <t xml:space="preserve">Tussenklem [mm]</t>
  </si>
  <si>
    <t xml:space="preserve">Aantal rails van 3m per rij</t>
  </si>
  <si>
    <t xml:space="preserve">Paneel lengte [mm]</t>
  </si>
  <si>
    <t xml:space="preserve">Anker plaatsen om de [mm]</t>
  </si>
  <si>
    <t xml:space="preserve">Lengte 1 rol</t>
  </si>
  <si>
    <t xml:space="preserve">Benodigde overlap [mm]</t>
  </si>
  <si>
    <t xml:space="preserve">Breedte PV</t>
  </si>
  <si>
    <t xml:space="preserve">Paneel breedte [mm]</t>
  </si>
  <si>
    <t xml:space="preserve">Aantal rijen rollen</t>
  </si>
  <si>
    <t xml:space="preserve">Opmerking:</t>
  </si>
  <si>
    <t xml:space="preserve">Dakgoten</t>
  </si>
  <si>
    <t xml:space="preserve">Paneel dikte [mm]</t>
  </si>
  <si>
    <t xml:space="preserve">Ruimte tussen de panelen [mm]</t>
  </si>
  <si>
    <t xml:space="preserve">Schuimstrook driehoek profiel</t>
  </si>
  <si>
    <t xml:space="preserve">Ruimte Zij-/ onderkant min. [mm]</t>
  </si>
  <si>
    <t xml:space="preserve">Railverbinder</t>
  </si>
  <si>
    <t xml:space="preserve">Aantal rijen</t>
  </si>
  <si>
    <t xml:space="preserve">Aantal ankers op 1 rail</t>
  </si>
  <si>
    <t xml:space="preserve">Als de Solar panelen in aparte systemen op het dak worden geplaatst dan moeten de systemen apart in de configurator worden berekend</t>
  </si>
  <si>
    <t xml:space="preserve">Ankers</t>
  </si>
  <si>
    <t xml:space="preserve">Aantal kolommen</t>
  </si>
  <si>
    <t xml:space="preserve">Schroeven voor ankers</t>
  </si>
  <si>
    <t xml:space="preserve">Beugels</t>
  </si>
  <si>
    <t xml:space="preserve">Kleur frame</t>
  </si>
  <si>
    <t xml:space="preserve">ALU Zwart</t>
  </si>
  <si>
    <t xml:space="preserve">Schroeven voor beugels</t>
  </si>
  <si>
    <t xml:space="preserve">Eindklemmen</t>
  </si>
  <si>
    <t xml:space="preserve">Plaat / Paneel</t>
  </si>
  <si>
    <t xml:space="preserve">Paneel</t>
  </si>
  <si>
    <t xml:space="preserve">Bruto totaal prijs:</t>
  </si>
  <si>
    <t xml:space="preserve">Middenklemmen</t>
  </si>
  <si>
    <t xml:space="preserve">Haak</t>
  </si>
  <si>
    <t xml:space="preserve">Dakhelling</t>
  </si>
  <si>
    <t xml:space="preserve">Schroeven voor hoek</t>
  </si>
  <si>
    <t xml:space="preserve">Totaal aantal rails van 3m</t>
  </si>
  <si>
    <t xml:space="preserve">0770001</t>
  </si>
  <si>
    <t xml:space="preserve">0770003</t>
  </si>
  <si>
    <t xml:space="preserve">0770212</t>
  </si>
  <si>
    <t xml:space="preserve">0770037</t>
  </si>
  <si>
    <t xml:space="preserve">0770039</t>
  </si>
  <si>
    <t xml:space="preserve">0340139</t>
  </si>
  <si>
    <t xml:space="preserve">0703967</t>
  </si>
  <si>
    <t xml:space="preserve">0770500</t>
  </si>
  <si>
    <t xml:space="preserve">0770501</t>
  </si>
  <si>
    <t xml:space="preserve">0770211</t>
  </si>
  <si>
    <t xml:space="preserve">0770210</t>
  </si>
  <si>
    <t xml:space="preserve">0820239</t>
  </si>
  <si>
    <t xml:space="preserve">0770035</t>
  </si>
  <si>
    <t xml:space="preserve">0770307</t>
  </si>
  <si>
    <t xml:space="preserve">0770308</t>
  </si>
  <si>
    <t xml:space="preserve">0770206</t>
  </si>
  <si>
    <t xml:space="preserve">0770208</t>
  </si>
  <si>
    <t xml:space="preserve">0770207</t>
  </si>
  <si>
    <t xml:space="preserve">0770209</t>
  </si>
  <si>
    <t xml:space="preserve">0770216</t>
  </si>
  <si>
    <t xml:space="preserve">0188495</t>
  </si>
  <si>
    <t xml:space="preserve">0770522</t>
  </si>
  <si>
    <t xml:space="preserve">0770530</t>
  </si>
  <si>
    <t xml:space="preserve">0770525</t>
  </si>
  <si>
    <t xml:space="preserve">0770526</t>
  </si>
  <si>
    <t xml:space="preserve">0770527</t>
  </si>
  <si>
    <t xml:space="preserve">0770528</t>
  </si>
  <si>
    <t xml:space="preserve">0534033</t>
  </si>
  <si>
    <t xml:space="preserve">0534040</t>
  </si>
  <si>
    <t xml:space="preserve">0534066</t>
  </si>
  <si>
    <t xml:space="preserve">Leveringsprogramma 2021 Versie 2 (19012021)</t>
  </si>
  <si>
    <t xml:space="preserve">Brutoprijzen excl. Btw geldig per 01-01-2021</t>
  </si>
  <si>
    <t xml:space="preserve">Prijs- en assortimentswijzigingen en zetfouten zijn altijd voorbehouden</t>
  </si>
  <si>
    <t xml:space="preserve">Artikelnummer</t>
  </si>
  <si>
    <t xml:space="preserve">GTIN/ EAN</t>
  </si>
  <si>
    <t xml:space="preserve">Status</t>
  </si>
  <si>
    <t xml:space="preserve">Levertijd Dagen</t>
  </si>
  <si>
    <r>
      <rPr>
        <b val="true"/>
        <sz val="11"/>
        <color rgb="FFFFFFFF"/>
        <rFont val="Calibri"/>
        <family val="2"/>
        <charset val="1"/>
      </rPr>
      <t xml:space="preserve">Beschikbaarheid </t>
    </r>
    <r>
      <rPr>
        <b val="true"/>
        <sz val="9"/>
        <color rgb="FFFFFFFF"/>
        <rFont val="Calibri"/>
        <family val="2"/>
        <charset val="1"/>
      </rPr>
      <t xml:space="preserve">D-direct leverbaar                A-op aanvraag</t>
    </r>
  </si>
  <si>
    <t xml:space="preserve">Product naam</t>
  </si>
  <si>
    <t xml:space="preserve">Prijs</t>
  </si>
  <si>
    <t xml:space="preserve">Aantal per box</t>
  </si>
  <si>
    <t xml:space="preserve">0083168</t>
  </si>
  <si>
    <t xml:space="preserve">8713645063782</t>
  </si>
  <si>
    <t xml:space="preserve">Regulier beschikbaar</t>
  </si>
  <si>
    <t xml:space="preserve">D</t>
  </si>
  <si>
    <t xml:space="preserve">Afdichtring 100 voor horizontale doorvoerpan</t>
  </si>
  <si>
    <t xml:space="preserve"> € 10,00 </t>
  </si>
  <si>
    <t xml:space="preserve">0090360</t>
  </si>
  <si>
    <t xml:space="preserve">8713645117744</t>
  </si>
  <si>
    <t xml:space="preserve">Centrocerin Glijmiddel tube 50ml</t>
  </si>
  <si>
    <t xml:space="preserve">€ 4,10</t>
  </si>
  <si>
    <t xml:space="preserve">0090365</t>
  </si>
  <si>
    <t xml:space="preserve">8713645215884</t>
  </si>
  <si>
    <t xml:space="preserve">Centrocerin Glijmiddel tube 250ml</t>
  </si>
  <si>
    <t xml:space="preserve">€ 14,45</t>
  </si>
  <si>
    <t xml:space="preserve">0110017</t>
  </si>
  <si>
    <t xml:space="preserve">8711465000116</t>
  </si>
  <si>
    <t xml:space="preserve">PE Dakraam Holle 6-pans A2 zwart</t>
  </si>
  <si>
    <t xml:space="preserve">€ 156,20</t>
  </si>
  <si>
    <t xml:space="preserve">0110024</t>
  </si>
  <si>
    <t xml:space="preserve">8711465000123</t>
  </si>
  <si>
    <t xml:space="preserve">A</t>
  </si>
  <si>
    <t xml:space="preserve">PE Dakraam Holle 9-pans A3 zwart</t>
  </si>
  <si>
    <t xml:space="preserve">€ 243,75</t>
  </si>
  <si>
    <t xml:space="preserve">0110031</t>
  </si>
  <si>
    <t xml:space="preserve">8711465000130</t>
  </si>
  <si>
    <t xml:space="preserve">PE Dakraam Verbeterde Holle 6-pans BC2 zwart</t>
  </si>
  <si>
    <t xml:space="preserve">0110048</t>
  </si>
  <si>
    <t xml:space="preserve">8711465000147</t>
  </si>
  <si>
    <t xml:space="preserve">PE Dakraam Verbeterde Holle 9-pans BC3 zwart</t>
  </si>
  <si>
    <t xml:space="preserve">0110055</t>
  </si>
  <si>
    <t xml:space="preserve">8711465000154</t>
  </si>
  <si>
    <t xml:space="preserve">PE Dakraam Opnieuw Verbeterde Holle 6-pans BIJ2 zwart</t>
  </si>
  <si>
    <t xml:space="preserve">0110062</t>
  </si>
  <si>
    <t xml:space="preserve">8711465000161</t>
  </si>
  <si>
    <t xml:space="preserve">PE Dakraam Opnieuw Verbeterde Holle 9-pans BIJ3 zwart</t>
  </si>
  <si>
    <t xml:space="preserve">0110093</t>
  </si>
  <si>
    <t xml:space="preserve">8711465000178</t>
  </si>
  <si>
    <t xml:space="preserve">PE Dakraam Mulden Hol 6-pans BP2 zwart</t>
  </si>
  <si>
    <t xml:space="preserve">0110103</t>
  </si>
  <si>
    <t xml:space="preserve">8711465000185</t>
  </si>
  <si>
    <t xml:space="preserve">PE Dakraam Mulden Vlak 6-pans G2 zwart</t>
  </si>
  <si>
    <t xml:space="preserve">0110134</t>
  </si>
  <si>
    <t xml:space="preserve">8711465000215</t>
  </si>
  <si>
    <t xml:space="preserve">PE Dakraam Tuile du Nord 6-pans E2 zwart</t>
  </si>
  <si>
    <t xml:space="preserve">0110141</t>
  </si>
  <si>
    <t xml:space="preserve">8711465000222</t>
  </si>
  <si>
    <t xml:space="preserve">PE Dakraam Tuile du Nord 9-pans E3 zwart</t>
  </si>
  <si>
    <t xml:space="preserve">0110158</t>
  </si>
  <si>
    <t xml:space="preserve">8711465000239</t>
  </si>
  <si>
    <t xml:space="preserve">PE Dakraam Verbeterde Tuile du Nord 6-pans FB2 zwart</t>
  </si>
  <si>
    <t xml:space="preserve">0110165</t>
  </si>
  <si>
    <t xml:space="preserve">8711465000246</t>
  </si>
  <si>
    <t xml:space="preserve">PE Dakraam Echtse kruispan 4-pans C2 zwart</t>
  </si>
  <si>
    <t xml:space="preserve">0110213</t>
  </si>
  <si>
    <t xml:space="preserve">8711465000284</t>
  </si>
  <si>
    <t xml:space="preserve">PE Dakraam Sneldek 4-pans SND1 zwart</t>
  </si>
  <si>
    <t xml:space="preserve">€ 149,75</t>
  </si>
  <si>
    <t xml:space="preserve">0110220</t>
  </si>
  <si>
    <t xml:space="preserve">8711465000291</t>
  </si>
  <si>
    <t xml:space="preserve">PE Dakraam Sneldek 6-pans SND2 zwart</t>
  </si>
  <si>
    <t xml:space="preserve">€ 271,15</t>
  </si>
  <si>
    <t xml:space="preserve">0110244</t>
  </si>
  <si>
    <t xml:space="preserve">8711465000307</t>
  </si>
  <si>
    <t xml:space="preserve">PE Dakraam Finkenberger 4-pans FR1 zwart</t>
  </si>
  <si>
    <t xml:space="preserve">€ 157,15</t>
  </si>
  <si>
    <t xml:space="preserve">0110323</t>
  </si>
  <si>
    <t xml:space="preserve">8711465000321</t>
  </si>
  <si>
    <t xml:space="preserve">PE Dakraam Neroma 4-pans NER1 zwart</t>
  </si>
  <si>
    <t xml:space="preserve">0115586</t>
  </si>
  <si>
    <t xml:space="preserve">8711465002608</t>
  </si>
  <si>
    <t xml:space="preserve">PE Bovenlicht Holle met uitzetter A2</t>
  </si>
  <si>
    <t xml:space="preserve">€ 76,35</t>
  </si>
  <si>
    <t xml:space="preserve">0115593</t>
  </si>
  <si>
    <t xml:space="preserve">8711465002615</t>
  </si>
  <si>
    <t xml:space="preserve">PE Bovenlicht Holle met uitzetter A3</t>
  </si>
  <si>
    <t xml:space="preserve">€ 124,20</t>
  </si>
  <si>
    <t xml:space="preserve">0115603</t>
  </si>
  <si>
    <t xml:space="preserve">8711465002622</t>
  </si>
  <si>
    <t xml:space="preserve">PE Bovenlicht Verbeterde Holle met uitzetter BC2</t>
  </si>
  <si>
    <t xml:space="preserve">0115610</t>
  </si>
  <si>
    <t xml:space="preserve">8711465002639</t>
  </si>
  <si>
    <t xml:space="preserve">PE Bovenlicht Verbeterde Holle met uitzetter BC3</t>
  </si>
  <si>
    <t xml:space="preserve">0115627</t>
  </si>
  <si>
    <t xml:space="preserve">8711465002646</t>
  </si>
  <si>
    <t xml:space="preserve">PE Bovenlicht Opnieuw Verbeterde Holle met uitzetter BIJ2</t>
  </si>
  <si>
    <t xml:space="preserve">0115665</t>
  </si>
  <si>
    <t xml:space="preserve">8711465002684</t>
  </si>
  <si>
    <t xml:space="preserve">PE Bovenlicht Tuile du Nord met uitzetter E2</t>
  </si>
  <si>
    <t xml:space="preserve">0115672</t>
  </si>
  <si>
    <t xml:space="preserve">8711465002691</t>
  </si>
  <si>
    <t xml:space="preserve">PE Bovenlicht Sneldek met uitzetter SND2</t>
  </si>
  <si>
    <t xml:space="preserve">€ 124,10</t>
  </si>
  <si>
    <t xml:space="preserve">0115696</t>
  </si>
  <si>
    <t xml:space="preserve">8711465002714</t>
  </si>
  <si>
    <t xml:space="preserve">PE Bovenlicht Finkenberger met uitzetter FR1</t>
  </si>
  <si>
    <t xml:space="preserve">0116059</t>
  </si>
  <si>
    <t xml:space="preserve">8711465002516</t>
  </si>
  <si>
    <t xml:space="preserve">PE Bovenlicht wisselset</t>
  </si>
  <si>
    <t xml:space="preserve">€ 5,40</t>
  </si>
  <si>
    <t xml:space="preserve">0120001</t>
  </si>
  <si>
    <t xml:space="preserve">8713645122212</t>
  </si>
  <si>
    <t xml:space="preserve">Rolux Buitenwandsysteem Topsectie Conc PP/RVS 110/160</t>
  </si>
  <si>
    <t xml:space="preserve">€ 60,50</t>
  </si>
  <si>
    <t xml:space="preserve">0120002</t>
  </si>
  <si>
    <t xml:space="preserve">8713645122045</t>
  </si>
  <si>
    <t xml:space="preserve">Rolux Buitenwandsysteem Dakdoorvoer Conc PP/RVS 110/160 1000mm</t>
  </si>
  <si>
    <t xml:space="preserve">€ 219,10</t>
  </si>
  <si>
    <t xml:space="preserve">0120096</t>
  </si>
  <si>
    <t xml:space="preserve">4049193027421</t>
  </si>
  <si>
    <t xml:space="preserve">Rolux Buitenwandsysteem Muurplaat RVS 60/100</t>
  </si>
  <si>
    <t xml:space="preserve">€ 18,05</t>
  </si>
  <si>
    <t xml:space="preserve">0120141</t>
  </si>
  <si>
    <t xml:space="preserve">4049193024604</t>
  </si>
  <si>
    <t xml:space="preserve">Rolux Buitenwandsysteem Verlengstuk Stoel RVS 80/125 64-150mm</t>
  </si>
  <si>
    <t xml:space="preserve">€ 53,50</t>
  </si>
  <si>
    <t xml:space="preserve">0120142</t>
  </si>
  <si>
    <t xml:space="preserve">4049193024611</t>
  </si>
  <si>
    <t xml:space="preserve">Rolux Buitenwandsysteem Verlengstuk Stoel RVS 80/125 155-242mm</t>
  </si>
  <si>
    <t xml:space="preserve">€ 79,00</t>
  </si>
  <si>
    <t xml:space="preserve">0120143</t>
  </si>
  <si>
    <t xml:space="preserve">4049193024628</t>
  </si>
  <si>
    <t xml:space="preserve">Rolux Buitenwandsysteem Verlengstuk Stoel RVS 80/125 247-334mm</t>
  </si>
  <si>
    <t xml:space="preserve">€ 93,35</t>
  </si>
  <si>
    <t xml:space="preserve">0120144</t>
  </si>
  <si>
    <t xml:space="preserve">4049193038069</t>
  </si>
  <si>
    <t xml:space="preserve">Rolux Buitenwandsysteem Verlengstuk Stoel RVS 110/160 61-181mm</t>
  </si>
  <si>
    <t xml:space="preserve">€ 139,85</t>
  </si>
  <si>
    <t xml:space="preserve">0120145</t>
  </si>
  <si>
    <t xml:space="preserve">4049193038076</t>
  </si>
  <si>
    <t xml:space="preserve">Rolux Buitenwandsysteem Verlengstuk Stoel RVS 110/160 186-273mm</t>
  </si>
  <si>
    <t xml:space="preserve">€ 199,40</t>
  </si>
  <si>
    <t xml:space="preserve">0120146</t>
  </si>
  <si>
    <t xml:space="preserve">4049193038083</t>
  </si>
  <si>
    <t xml:space="preserve">Rolux Buitenwandsysteem Verlengstuk Stoel RVS 110/160 277-364mm</t>
  </si>
  <si>
    <t xml:space="preserve">€ 244,80</t>
  </si>
  <si>
    <t xml:space="preserve">0120596</t>
  </si>
  <si>
    <t xml:space="preserve">8713645161396</t>
  </si>
  <si>
    <t xml:space="preserve">WaterpRoof Plakplaat 135 Firestone zelfklevend</t>
  </si>
  <si>
    <t xml:space="preserve">€ 107,45</t>
  </si>
  <si>
    <t xml:space="preserve">0120597</t>
  </si>
  <si>
    <t xml:space="preserve">8713645161402</t>
  </si>
  <si>
    <t xml:space="preserve">WaterpRoof Plakplaat 170 Firestone zelfklevend</t>
  </si>
  <si>
    <t xml:space="preserve">€ 130,40</t>
  </si>
  <si>
    <t xml:space="preserve">0120867</t>
  </si>
  <si>
    <t xml:space="preserve">8713645162249</t>
  </si>
  <si>
    <t xml:space="preserve">Uitlopend </t>
  </si>
  <si>
    <t xml:space="preserve">Solar Eindklem ALU zwart</t>
  </si>
  <si>
    <t xml:space="preserve">€ 2,57</t>
  </si>
  <si>
    <t xml:space="preserve">0120868</t>
  </si>
  <si>
    <t xml:space="preserve">8713645162263</t>
  </si>
  <si>
    <t xml:space="preserve">Solar Tussenklem ALU zwart</t>
  </si>
  <si>
    <t xml:space="preserve">€ 1,63</t>
  </si>
  <si>
    <t xml:space="preserve">0123010</t>
  </si>
  <si>
    <t xml:space="preserve">8713645064321</t>
  </si>
  <si>
    <t xml:space="preserve">Verlengbuis PP 80 250mm wit</t>
  </si>
  <si>
    <t xml:space="preserve">€ 6,25</t>
  </si>
  <si>
    <t xml:space="preserve">0123020</t>
  </si>
  <si>
    <t xml:space="preserve">8713645064338</t>
  </si>
  <si>
    <t xml:space="preserve">Verlengbuis PP 80 500mm wit</t>
  </si>
  <si>
    <t xml:space="preserve">€ 8,45</t>
  </si>
  <si>
    <t xml:space="preserve">0123030</t>
  </si>
  <si>
    <t xml:space="preserve">8713645064345</t>
  </si>
  <si>
    <t xml:space="preserve">Verlengbuis PP 80 1000mm wit</t>
  </si>
  <si>
    <t xml:space="preserve">€ 11,75</t>
  </si>
  <si>
    <t xml:space="preserve">0123040</t>
  </si>
  <si>
    <t xml:space="preserve">8713645064352</t>
  </si>
  <si>
    <t xml:space="preserve">Verlengbuis PP 80 2000mm wit</t>
  </si>
  <si>
    <t xml:space="preserve">€ 23,65</t>
  </si>
  <si>
    <t xml:space="preserve">0123045</t>
  </si>
  <si>
    <t xml:space="preserve">8713645174587</t>
  </si>
  <si>
    <t xml:space="preserve">Verlengbuis PP 80 3000mm wit</t>
  </si>
  <si>
    <t xml:space="preserve">€ 34,20</t>
  </si>
  <si>
    <t xml:space="preserve">0123050</t>
  </si>
  <si>
    <t xml:space="preserve">8713645064369</t>
  </si>
  <si>
    <t xml:space="preserve">Bocht 45° PP 80 wit</t>
  </si>
  <si>
    <t xml:space="preserve">€ 7,80</t>
  </si>
  <si>
    <t xml:space="preserve">0123060</t>
  </si>
  <si>
    <t xml:space="preserve">8713645064376</t>
  </si>
  <si>
    <t xml:space="preserve">Bocht 87° PP 80 wit</t>
  </si>
  <si>
    <t xml:space="preserve">€ 8,00</t>
  </si>
  <si>
    <t xml:space="preserve">0127103</t>
  </si>
  <si>
    <t xml:space="preserve">8711465083508</t>
  </si>
  <si>
    <t xml:space="preserve">Koppelstuk Luchttoevoer PE 80 zwart zonder ring</t>
  </si>
  <si>
    <t xml:space="preserve">€ 4,80</t>
  </si>
  <si>
    <t xml:space="preserve">0130005</t>
  </si>
  <si>
    <t xml:space="preserve">8713645061856</t>
  </si>
  <si>
    <t xml:space="preserve">Rioolontluchtingspan Verholen Sneldek 5-55° 1-pans SND zwart</t>
  </si>
  <si>
    <t xml:space="preserve">€ 56,35</t>
  </si>
  <si>
    <t xml:space="preserve">0130012</t>
  </si>
  <si>
    <t xml:space="preserve">8713645121192</t>
  </si>
  <si>
    <t xml:space="preserve">Rioolontluchtingspan Ubiflex universeel 5-55° 500mm x 600mm zwart</t>
  </si>
  <si>
    <t xml:space="preserve">€ 63,60</t>
  </si>
  <si>
    <t xml:space="preserve">0130042</t>
  </si>
  <si>
    <t xml:space="preserve">8711465031783</t>
  </si>
  <si>
    <t xml:space="preserve">Rioolontluchtingspan Sneldek 5-55° 1-pans SND-R1 zwart</t>
  </si>
  <si>
    <t xml:space="preserve">€ 39,05</t>
  </si>
  <si>
    <t xml:space="preserve">0131015</t>
  </si>
  <si>
    <t xml:space="preserve">8711465031905</t>
  </si>
  <si>
    <t xml:space="preserve">Panklem Universeel KS zwart</t>
  </si>
  <si>
    <t xml:space="preserve">€ 1,96</t>
  </si>
  <si>
    <t xml:space="preserve">0143111</t>
  </si>
  <si>
    <t xml:space="preserve">8713645219370</t>
  </si>
  <si>
    <t xml:space="preserve">FlatRoofVent Platdakontluchter Geïsoleerd 110</t>
  </si>
  <si>
    <t xml:space="preserve">€ 27,90</t>
  </si>
  <si>
    <t xml:space="preserve">0143112</t>
  </si>
  <si>
    <t xml:space="preserve">8713645219394</t>
  </si>
  <si>
    <t xml:space="preserve">FlatRoofVent Platdakontluchter Geïsoleerd 125</t>
  </si>
  <si>
    <t xml:space="preserve">€ 30,15</t>
  </si>
  <si>
    <t xml:space="preserve">0143113</t>
  </si>
  <si>
    <t xml:space="preserve">8713645219417</t>
  </si>
  <si>
    <t xml:space="preserve">FlatRoofVent Platdakontluchter Geïsoleerd 160</t>
  </si>
  <si>
    <t xml:space="preserve">€ 34,00</t>
  </si>
  <si>
    <t xml:space="preserve">0146115</t>
  </si>
  <si>
    <t xml:space="preserve">8711465029896</t>
  </si>
  <si>
    <t xml:space="preserve">Plakplaat ALU 110 voor Rolux Universe</t>
  </si>
  <si>
    <t xml:space="preserve">€ 21,55</t>
  </si>
  <si>
    <t xml:space="preserve">0146139</t>
  </si>
  <si>
    <t xml:space="preserve">8711465029919</t>
  </si>
  <si>
    <t xml:space="preserve">Plakplaat ALU 128 voor 5-serie</t>
  </si>
  <si>
    <t xml:space="preserve">0146142</t>
  </si>
  <si>
    <t xml:space="preserve">8713645010779</t>
  </si>
  <si>
    <t xml:space="preserve">Plakplaat ALU 110 voor Ventub/riool</t>
  </si>
  <si>
    <t xml:space="preserve">0146153</t>
  </si>
  <si>
    <t xml:space="preserve">8711465029926</t>
  </si>
  <si>
    <t xml:space="preserve">Plakplaat ALU 148</t>
  </si>
  <si>
    <t xml:space="preserve">€ 23,10</t>
  </si>
  <si>
    <t xml:space="preserve">0146160</t>
  </si>
  <si>
    <t xml:space="preserve">8711465029933</t>
  </si>
  <si>
    <t xml:space="preserve">Plakplaat ALU 168</t>
  </si>
  <si>
    <t xml:space="preserve">€ 19,60</t>
  </si>
  <si>
    <t xml:space="preserve">0146177</t>
  </si>
  <si>
    <t xml:space="preserve">8711465029940</t>
  </si>
  <si>
    <t xml:space="preserve">Plakplaat ALU 200 voor Combi/Geïsoleerde Dakdoorvoer</t>
  </si>
  <si>
    <t xml:space="preserve">€ 31,75</t>
  </si>
  <si>
    <t xml:space="preserve">0146184</t>
  </si>
  <si>
    <t xml:space="preserve">8711465029957</t>
  </si>
  <si>
    <t xml:space="preserve">Plakplaat ALU 219 voor Rolux half CLV 160/Rolux Cascade 160</t>
  </si>
  <si>
    <t xml:space="preserve">€ 31,10</t>
  </si>
  <si>
    <t xml:space="preserve">0146185</t>
  </si>
  <si>
    <t xml:space="preserve">8713645009551</t>
  </si>
  <si>
    <t xml:space="preserve">Plakplaat RVS 310 voor Rolux half CLV 200/Rolux Cascade 200</t>
  </si>
  <si>
    <t xml:space="preserve">€ 50,55</t>
  </si>
  <si>
    <t xml:space="preserve">0146300</t>
  </si>
  <si>
    <t xml:space="preserve">8713645200910</t>
  </si>
  <si>
    <t xml:space="preserve">WaterpRoof Plakplaat 135 Hertalan Easy Cover EPDM</t>
  </si>
  <si>
    <t xml:space="preserve">€ 41,10</t>
  </si>
  <si>
    <t xml:space="preserve">0146301</t>
  </si>
  <si>
    <t xml:space="preserve">8713645200927</t>
  </si>
  <si>
    <t xml:space="preserve">WaterpRoof Plakplaat 135 Resitrix SK-W</t>
  </si>
  <si>
    <t xml:space="preserve">€ 53,05</t>
  </si>
  <si>
    <t xml:space="preserve">0146302</t>
  </si>
  <si>
    <t xml:space="preserve">8713645200934</t>
  </si>
  <si>
    <t xml:space="preserve">WaterpRoof Plakplaat 135 Armour 470K24</t>
  </si>
  <si>
    <t xml:space="preserve">€ 43,80</t>
  </si>
  <si>
    <t xml:space="preserve">0146303</t>
  </si>
  <si>
    <t xml:space="preserve">8713645200941</t>
  </si>
  <si>
    <t xml:space="preserve">WaterpRoof Plakplaat 135 Armourplan SM</t>
  </si>
  <si>
    <t xml:space="preserve">€ 37,40</t>
  </si>
  <si>
    <t xml:space="preserve">0146305</t>
  </si>
  <si>
    <t xml:space="preserve">8713645212807</t>
  </si>
  <si>
    <t xml:space="preserve">WaterpRoof Plakplaat 135 Firestone</t>
  </si>
  <si>
    <t xml:space="preserve">€ 43,90</t>
  </si>
  <si>
    <t xml:space="preserve">0146310</t>
  </si>
  <si>
    <t xml:space="preserve">8713645200958</t>
  </si>
  <si>
    <t xml:space="preserve">WaterpRoof Plakplaat Verhoogd 135 Hertalan Easy Cover EPDM</t>
  </si>
  <si>
    <t xml:space="preserve">€ 45,35</t>
  </si>
  <si>
    <t xml:space="preserve">0146311</t>
  </si>
  <si>
    <t xml:space="preserve">8713645200965</t>
  </si>
  <si>
    <t xml:space="preserve">WaterpRoof Plakplaat Verhoogd 135 Resitrix SK-W</t>
  </si>
  <si>
    <t xml:space="preserve">€ 57,20</t>
  </si>
  <si>
    <t xml:space="preserve">0146312</t>
  </si>
  <si>
    <t xml:space="preserve">8713645200972</t>
  </si>
  <si>
    <t xml:space="preserve">WaterpRoof Plakplaat Verhoogd 135 Armour 470K24</t>
  </si>
  <si>
    <t xml:space="preserve">€ 48,05</t>
  </si>
  <si>
    <t xml:space="preserve">0146313</t>
  </si>
  <si>
    <t xml:space="preserve">8713645200989</t>
  </si>
  <si>
    <t xml:space="preserve">WaterpRoof Plakplaat Verhoogd 135 Armourplan SM</t>
  </si>
  <si>
    <t xml:space="preserve">€ 41,50</t>
  </si>
  <si>
    <t xml:space="preserve">0146320</t>
  </si>
  <si>
    <t xml:space="preserve">8713645200996</t>
  </si>
  <si>
    <t xml:space="preserve">WaterpRoof Plakplaat 170 Hertalan Easy Cover EPDM</t>
  </si>
  <si>
    <t xml:space="preserve">€ 43,45</t>
  </si>
  <si>
    <t xml:space="preserve">0146321</t>
  </si>
  <si>
    <t xml:space="preserve">8713645201009</t>
  </si>
  <si>
    <t xml:space="preserve">WaterpRoof Plakplaat 170 Resitrix SK-W</t>
  </si>
  <si>
    <t xml:space="preserve">€ 55,40</t>
  </si>
  <si>
    <t xml:space="preserve">0146322</t>
  </si>
  <si>
    <t xml:space="preserve">8713645201016</t>
  </si>
  <si>
    <t xml:space="preserve">WaterpRoof Plakplaat 170 Armour 470K24</t>
  </si>
  <si>
    <t xml:space="preserve">€ 46,20</t>
  </si>
  <si>
    <t xml:space="preserve">0146323</t>
  </si>
  <si>
    <t xml:space="preserve">8713645201023</t>
  </si>
  <si>
    <t xml:space="preserve">WaterpRoof Plakplaat 170 Armourplan SM</t>
  </si>
  <si>
    <t xml:space="preserve">€ 39,75</t>
  </si>
  <si>
    <t xml:space="preserve">0146325</t>
  </si>
  <si>
    <t xml:space="preserve">8713645212814</t>
  </si>
  <si>
    <t xml:space="preserve">WaterpRoof Plakplaat 170 Firestone</t>
  </si>
  <si>
    <t xml:space="preserve">€ 45,55</t>
  </si>
  <si>
    <t xml:space="preserve">0146330</t>
  </si>
  <si>
    <t xml:space="preserve">8713645201030</t>
  </si>
  <si>
    <t xml:space="preserve">WaterpRoof Plakplaat Verhoogd 170 Hertalan Easy Cover EPDM</t>
  </si>
  <si>
    <t xml:space="preserve">€ 49,60</t>
  </si>
  <si>
    <t xml:space="preserve">0146331</t>
  </si>
  <si>
    <t xml:space="preserve">8713645201047</t>
  </si>
  <si>
    <t xml:space="preserve">WaterpRoof Plakplaat Verhoogd 170 Resitrix SK-W</t>
  </si>
  <si>
    <t xml:space="preserve">€ 61,45</t>
  </si>
  <si>
    <t xml:space="preserve">0146332</t>
  </si>
  <si>
    <t xml:space="preserve">8713645201054</t>
  </si>
  <si>
    <t xml:space="preserve">WaterpRoof Plakplaat Verhoogd 170 Armour 470K24</t>
  </si>
  <si>
    <t xml:space="preserve">€ 52,45</t>
  </si>
  <si>
    <t xml:space="preserve">0146333</t>
  </si>
  <si>
    <t xml:space="preserve">8713645201061</t>
  </si>
  <si>
    <t xml:space="preserve">WaterpRoof Plakplaat Verhoogd 170 Armourplan SM</t>
  </si>
  <si>
    <t xml:space="preserve">€ 46,05</t>
  </si>
  <si>
    <t xml:space="preserve">0147059</t>
  </si>
  <si>
    <t xml:space="preserve">8711465030571</t>
  </si>
  <si>
    <t xml:space="preserve">Verloop KS 131-110 zwart voor dakdoorvoer 131</t>
  </si>
  <si>
    <t xml:space="preserve">€ 6,40</t>
  </si>
  <si>
    <t xml:space="preserve">0147062</t>
  </si>
  <si>
    <t xml:space="preserve">8713645008752</t>
  </si>
  <si>
    <t xml:space="preserve">Verloop ALU 132-124</t>
  </si>
  <si>
    <t xml:space="preserve">€ 9,35</t>
  </si>
  <si>
    <t xml:space="preserve">0147064</t>
  </si>
  <si>
    <t xml:space="preserve">8713645051680</t>
  </si>
  <si>
    <t xml:space="preserve">Verloop ALU 167-149</t>
  </si>
  <si>
    <t xml:space="preserve">€ 13,20</t>
  </si>
  <si>
    <t xml:space="preserve">0147066</t>
  </si>
  <si>
    <t xml:space="preserve">8711465030588</t>
  </si>
  <si>
    <t xml:space="preserve">Verlengstuk Onderdaks 150mm KS zwart voor dakdoorvoer 131</t>
  </si>
  <si>
    <t xml:space="preserve">0148371</t>
  </si>
  <si>
    <t xml:space="preserve">8711465030632</t>
  </si>
  <si>
    <t xml:space="preserve">Dakdoorvoerschaal 166 voor dakdoorvoer 166 zwart</t>
  </si>
  <si>
    <t xml:space="preserve">€ 10,95</t>
  </si>
  <si>
    <t xml:space="preserve">0148373</t>
  </si>
  <si>
    <t xml:space="preserve">8713645123929</t>
  </si>
  <si>
    <t xml:space="preserve">Dakdoorvoerschaal 166 voor dakdoorvoer 166 natuurrood</t>
  </si>
  <si>
    <t xml:space="preserve">0165550</t>
  </si>
  <si>
    <t xml:space="preserve">8713645064123</t>
  </si>
  <si>
    <t xml:space="preserve">Verloop KS 176-158-132 zwart voor dakdoorvoer 131</t>
  </si>
  <si>
    <t xml:space="preserve">€ 10,05</t>
  </si>
  <si>
    <t xml:space="preserve">0165555</t>
  </si>
  <si>
    <t xml:space="preserve">8713645064130</t>
  </si>
  <si>
    <t xml:space="preserve">Verloop KS 230-210-132 zwart voor dakdoorvoer 131</t>
  </si>
  <si>
    <t xml:space="preserve">0167128</t>
  </si>
  <si>
    <t xml:space="preserve">8711465083607</t>
  </si>
  <si>
    <t xml:space="preserve">Bocht 45° Luchttoevoer PE 80 zwart</t>
  </si>
  <si>
    <t xml:space="preserve">€ 3,55</t>
  </si>
  <si>
    <t xml:space="preserve">0167135</t>
  </si>
  <si>
    <t xml:space="preserve">8711465083614</t>
  </si>
  <si>
    <t xml:space="preserve">Bocht 87° Luchttoevoer PE 80 zwart</t>
  </si>
  <si>
    <t xml:space="preserve">€ 5,10</t>
  </si>
  <si>
    <t xml:space="preserve">0169021</t>
  </si>
  <si>
    <t xml:space="preserve">8713645195568</t>
  </si>
  <si>
    <t xml:space="preserve">Beugel 80 PP wit</t>
  </si>
  <si>
    <t xml:space="preserve">€ 3,45</t>
  </si>
  <si>
    <t xml:space="preserve">0169022</t>
  </si>
  <si>
    <t xml:space="preserve">8713645195575</t>
  </si>
  <si>
    <t xml:space="preserve">Beugel 80 PP wit 100 stuks</t>
  </si>
  <si>
    <t xml:space="preserve">€ 3,20</t>
  </si>
  <si>
    <t xml:space="preserve">0169023</t>
  </si>
  <si>
    <t xml:space="preserve">8713645204864</t>
  </si>
  <si>
    <t xml:space="preserve">Beugel 80 PP zwart</t>
  </si>
  <si>
    <t xml:space="preserve">0169024</t>
  </si>
  <si>
    <t xml:space="preserve">8713645204871</t>
  </si>
  <si>
    <t xml:space="preserve">Beugel 80 PP zwart 100 stuks</t>
  </si>
  <si>
    <t xml:space="preserve">0169026</t>
  </si>
  <si>
    <t xml:space="preserve">8713645213248</t>
  </si>
  <si>
    <t xml:space="preserve">Dakbeschotbeugel 100-131 PP wit</t>
  </si>
  <si>
    <t xml:space="preserve">€ 4,15</t>
  </si>
  <si>
    <t xml:space="preserve">0169027</t>
  </si>
  <si>
    <t xml:space="preserve">8713645213255</t>
  </si>
  <si>
    <t xml:space="preserve">Dakbeschotbeugel 100-131 PP zwart</t>
  </si>
  <si>
    <t xml:space="preserve">0169030</t>
  </si>
  <si>
    <t xml:space="preserve">8713645213798</t>
  </si>
  <si>
    <t xml:space="preserve">Beugel 60 PP wit</t>
  </si>
  <si>
    <t xml:space="preserve">€ 3,00</t>
  </si>
  <si>
    <t xml:space="preserve">0169033</t>
  </si>
  <si>
    <t xml:space="preserve">8713645222134</t>
  </si>
  <si>
    <t xml:space="preserve">Beugel 80-100 Click PP wit</t>
  </si>
  <si>
    <t xml:space="preserve">€ 3,50</t>
  </si>
  <si>
    <t xml:space="preserve">0169034</t>
  </si>
  <si>
    <t xml:space="preserve">8713645222141</t>
  </si>
  <si>
    <t xml:space="preserve">Beugel 80-100 Click PP wit 100 stuks</t>
  </si>
  <si>
    <t xml:space="preserve">€ 3,30</t>
  </si>
  <si>
    <t xml:space="preserve">0169051</t>
  </si>
  <si>
    <t xml:space="preserve">8711465070683</t>
  </si>
  <si>
    <t xml:space="preserve">Dakbeschotbeugel 131 staal</t>
  </si>
  <si>
    <t xml:space="preserve">€ 2,89</t>
  </si>
  <si>
    <t xml:space="preserve">0169075</t>
  </si>
  <si>
    <t xml:space="preserve">8711465070706</t>
  </si>
  <si>
    <t xml:space="preserve">Dakbeschotbeugel 166 staal</t>
  </si>
  <si>
    <t xml:space="preserve">€ 3,25</t>
  </si>
  <si>
    <t xml:space="preserve">0169082</t>
  </si>
  <si>
    <t xml:space="preserve">8711465070713</t>
  </si>
  <si>
    <t xml:space="preserve">Dakbeschotbeugel 186 staal</t>
  </si>
  <si>
    <t xml:space="preserve">0169130</t>
  </si>
  <si>
    <t xml:space="preserve">8711465070768</t>
  </si>
  <si>
    <t xml:space="preserve">Dakbeschotbeugel 110 staal</t>
  </si>
  <si>
    <t xml:space="preserve">€ 2,77</t>
  </si>
  <si>
    <t xml:space="preserve">0169139</t>
  </si>
  <si>
    <t xml:space="preserve">8713645201511</t>
  </si>
  <si>
    <t xml:space="preserve">Aerfoam geïsoleerd leidingsysteem Beugel KS 160 grijs</t>
  </si>
  <si>
    <t xml:space="preserve">€ 3,05</t>
  </si>
  <si>
    <t xml:space="preserve">0169141</t>
  </si>
  <si>
    <t xml:space="preserve">8713645179261</t>
  </si>
  <si>
    <t xml:space="preserve">Aerfoam geïsoleerd leidingsysteem Beugel KS 125 grijs</t>
  </si>
  <si>
    <t xml:space="preserve">€ 3,65</t>
  </si>
  <si>
    <t xml:space="preserve">0169142</t>
  </si>
  <si>
    <t xml:space="preserve">8713645179278</t>
  </si>
  <si>
    <t xml:space="preserve">Aerfoam geïsoleerd leidingsysteem Beugel KS 150 grijs</t>
  </si>
  <si>
    <t xml:space="preserve">€ 2,38</t>
  </si>
  <si>
    <t xml:space="preserve">0169143</t>
  </si>
  <si>
    <t xml:space="preserve">8713645179285</t>
  </si>
  <si>
    <t xml:space="preserve">Aerfoam geïsoleerd leidingsysteem Beugel KS 180 grijs</t>
  </si>
  <si>
    <t xml:space="preserve">0169158</t>
  </si>
  <si>
    <t xml:space="preserve">8713645216751</t>
  </si>
  <si>
    <t xml:space="preserve">Beugel 100-131 PP wit</t>
  </si>
  <si>
    <t xml:space="preserve">€ 4,40</t>
  </si>
  <si>
    <t xml:space="preserve">0169159</t>
  </si>
  <si>
    <t xml:space="preserve">8713645213279</t>
  </si>
  <si>
    <t xml:space="preserve">Beugel 100-131 PP zwart</t>
  </si>
  <si>
    <t xml:space="preserve">0169165</t>
  </si>
  <si>
    <t xml:space="preserve">8713645110417</t>
  </si>
  <si>
    <t xml:space="preserve">Montagehulp Universe installatiegereedschap</t>
  </si>
  <si>
    <t xml:space="preserve">€ 160,85</t>
  </si>
  <si>
    <t xml:space="preserve">0169210</t>
  </si>
  <si>
    <t xml:space="preserve">8713645123905</t>
  </si>
  <si>
    <t xml:space="preserve">MultiVent Beluchtingskruis 131 zwart</t>
  </si>
  <si>
    <t xml:space="preserve">€ 15,85</t>
  </si>
  <si>
    <t xml:space="preserve">0169211</t>
  </si>
  <si>
    <t xml:space="preserve">8713645124209</t>
  </si>
  <si>
    <t xml:space="preserve">MultiVent Beluchtingskruis 166 zwart</t>
  </si>
  <si>
    <t xml:space="preserve">€ 17,95</t>
  </si>
  <si>
    <t xml:space="preserve">0169257</t>
  </si>
  <si>
    <t xml:space="preserve">8711465070812</t>
  </si>
  <si>
    <t xml:space="preserve">Dakdoorvoerschaal 214 voor dakdoorvoer 186 zwart</t>
  </si>
  <si>
    <t xml:space="preserve">€ 14,85</t>
  </si>
  <si>
    <t xml:space="preserve">0169264</t>
  </si>
  <si>
    <t xml:space="preserve">8711465070829</t>
  </si>
  <si>
    <t xml:space="preserve">Dakdoorvoerschaal 214 voor Rolux half CLV 125/Rolux Cascade 125 zwart</t>
  </si>
  <si>
    <t xml:space="preserve">€ 16,00</t>
  </si>
  <si>
    <t xml:space="preserve">0169453</t>
  </si>
  <si>
    <t xml:space="preserve">8711465030649</t>
  </si>
  <si>
    <t xml:space="preserve">Dakdoorvoerschaal binnenmaat 110 Rookgas Ø 90 zwart</t>
  </si>
  <si>
    <t xml:space="preserve">€ 7,20</t>
  </si>
  <si>
    <t xml:space="preserve">0169510</t>
  </si>
  <si>
    <t xml:space="preserve">8713645222073</t>
  </si>
  <si>
    <t xml:space="preserve">Ventub Dakdoorvoer Ventilatie 131 1020mm zwart</t>
  </si>
  <si>
    <t xml:space="preserve">€ 33,05</t>
  </si>
  <si>
    <t xml:space="preserve">0169511</t>
  </si>
  <si>
    <t xml:space="preserve">8713645222080</t>
  </si>
  <si>
    <t xml:space="preserve">Ventub Dakdoorvoer Ventilatie 131 1020mm terracotta</t>
  </si>
  <si>
    <t xml:space="preserve">0169512</t>
  </si>
  <si>
    <t xml:space="preserve">8713645222097</t>
  </si>
  <si>
    <t xml:space="preserve">Ventub Dakdoorvoer Ventilatie 131 1020mm natuurrood</t>
  </si>
  <si>
    <t xml:space="preserve">0169549</t>
  </si>
  <si>
    <t xml:space="preserve">8711465030656</t>
  </si>
  <si>
    <t xml:space="preserve">Dakdoorvoerschaal 131 voor Rolux 5G 60/100 zwart</t>
  </si>
  <si>
    <t xml:space="preserve">€ 5,45</t>
  </si>
  <si>
    <t xml:space="preserve">0169552</t>
  </si>
  <si>
    <t xml:space="preserve">8711465071338</t>
  </si>
  <si>
    <t xml:space="preserve">Dakdoorvoerschaal 131 voor 5-serie terracotta</t>
  </si>
  <si>
    <t xml:space="preserve">€ 5,65</t>
  </si>
  <si>
    <t xml:space="preserve">0169553</t>
  </si>
  <si>
    <t xml:space="preserve">8713645174235</t>
  </si>
  <si>
    <t xml:space="preserve">Dakdoorvoerschaal 131 voor 5-serie zwart</t>
  </si>
  <si>
    <t xml:space="preserve">0169651</t>
  </si>
  <si>
    <t xml:space="preserve">8713645203379</t>
  </si>
  <si>
    <t xml:space="preserve">SoloVent 5R Dakdoorvoer 125 1094mm zwart</t>
  </si>
  <si>
    <t xml:space="preserve">€ 28,10</t>
  </si>
  <si>
    <t xml:space="preserve">0169660</t>
  </si>
  <si>
    <t xml:space="preserve">8713645204826</t>
  </si>
  <si>
    <t xml:space="preserve">SoloVent Verloop KS 125-110-90 zwart</t>
  </si>
  <si>
    <t xml:space="preserve">€ 11,20</t>
  </si>
  <si>
    <t xml:space="preserve">0169661</t>
  </si>
  <si>
    <t xml:space="preserve">8713645221120</t>
  </si>
  <si>
    <t xml:space="preserve">Verloop KS 110-100-90-75 grijs voor rioolontspanning 110</t>
  </si>
  <si>
    <t xml:space="preserve">0169665</t>
  </si>
  <si>
    <t xml:space="preserve">8713645204833</t>
  </si>
  <si>
    <t xml:space="preserve">Verloop Universele Ubiflex doorvoerpan 0174050 KS zwart voor DDV 110</t>
  </si>
  <si>
    <t xml:space="preserve">0169673</t>
  </si>
  <si>
    <t xml:space="preserve">8713645222028</t>
  </si>
  <si>
    <t xml:space="preserve">Ventub Dakdoorvoer Ventilatie 110 780mm terracotta</t>
  </si>
  <si>
    <t xml:space="preserve">0169674</t>
  </si>
  <si>
    <t xml:space="preserve">8713645222035</t>
  </si>
  <si>
    <t xml:space="preserve">Ventub Dakdoorvoer Ventilatie 110 780mm natuurrood</t>
  </si>
  <si>
    <t xml:space="preserve">0169675</t>
  </si>
  <si>
    <t xml:space="preserve">8713645123776</t>
  </si>
  <si>
    <t xml:space="preserve">Ventub Dakdoorvoer Ventilatie 110 780mm zwart</t>
  </si>
  <si>
    <t xml:space="preserve">0169685</t>
  </si>
  <si>
    <t xml:space="preserve">8713645123912</t>
  </si>
  <si>
    <t xml:space="preserve">Dakdoorvoer Rioolontluchting 110 700mm zwart</t>
  </si>
  <si>
    <t xml:space="preserve">€ 17,10</t>
  </si>
  <si>
    <t xml:space="preserve">0169800</t>
  </si>
  <si>
    <t xml:space="preserve">8713645027128</t>
  </si>
  <si>
    <t xml:space="preserve">Ventub Dakdoorvoer Ventilatie 166 1110mm zwart</t>
  </si>
  <si>
    <t xml:space="preserve">€ 59,40</t>
  </si>
  <si>
    <t xml:space="preserve">0169810</t>
  </si>
  <si>
    <t xml:space="preserve">8713645049922</t>
  </si>
  <si>
    <t xml:space="preserve">Ventub Dakdoorvoer Ventilatie 166 1110mm natuurrood</t>
  </si>
  <si>
    <t xml:space="preserve">€ 61,25</t>
  </si>
  <si>
    <t xml:space="preserve">0169840</t>
  </si>
  <si>
    <t xml:space="preserve">8713645073385</t>
  </si>
  <si>
    <t xml:space="preserve">Aerfoam geïsoleerd leidingsysteem DDV 166 1160mm zwart aansluitm 125</t>
  </si>
  <si>
    <t xml:space="preserve">€ 70,15</t>
  </si>
  <si>
    <t xml:space="preserve">0169846</t>
  </si>
  <si>
    <t xml:space="preserve">8713645203584</t>
  </si>
  <si>
    <t xml:space="preserve">Aerfoam geïsoleerd leidingsysteem DDV 166 1378mm zwart aansluitm 125</t>
  </si>
  <si>
    <t xml:space="preserve">€ 81,55</t>
  </si>
  <si>
    <t xml:space="preserve">0169850</t>
  </si>
  <si>
    <t xml:space="preserve">8713645050096</t>
  </si>
  <si>
    <t xml:space="preserve">Aerfoam geïs. leidingsysteem DDV 166 1160mm zwart aansluitm 150/160</t>
  </si>
  <si>
    <t xml:space="preserve">0169853</t>
  </si>
  <si>
    <t xml:space="preserve">8713645063201</t>
  </si>
  <si>
    <t xml:space="preserve">Aerfoam geïs. leidingsysteem DDV 166 1160mm nrood aansluitm 150/160</t>
  </si>
  <si>
    <t xml:space="preserve">0169856</t>
  </si>
  <si>
    <t xml:space="preserve">8713645203591</t>
  </si>
  <si>
    <t xml:space="preserve">Aerfoam geïs. leidingsysteem DDV 166 1378mm zwart aansluitm 150/160</t>
  </si>
  <si>
    <t xml:space="preserve">0169860</t>
  </si>
  <si>
    <t xml:space="preserve">8713645105208</t>
  </si>
  <si>
    <t xml:space="preserve">Aerfoam geïsoleerd leidingsysteem DDV 186 1230mm zwart aansluitm 180</t>
  </si>
  <si>
    <t xml:space="preserve">€ 124,95</t>
  </si>
  <si>
    <t xml:space="preserve">0169866</t>
  </si>
  <si>
    <t xml:space="preserve">8713645203607</t>
  </si>
  <si>
    <t xml:space="preserve">Aerfoam geïsoleerd leidingsysteem DDV 186 1398mm zwart aansluitm 180</t>
  </si>
  <si>
    <t xml:space="preserve">€ 134,55</t>
  </si>
  <si>
    <t xml:space="preserve">0169903</t>
  </si>
  <si>
    <t xml:space="preserve">8711465029988</t>
  </si>
  <si>
    <t xml:space="preserve">Plakplaat ALU 132 voor MultiVent/Ventub</t>
  </si>
  <si>
    <t xml:space="preserve">€ 27,45</t>
  </si>
  <si>
    <t xml:space="preserve">0169910</t>
  </si>
  <si>
    <t xml:space="preserve">8711465029995</t>
  </si>
  <si>
    <t xml:space="preserve">Plakplaat ALU Verhoogd 134 voor MultiVent/Ventub</t>
  </si>
  <si>
    <t xml:space="preserve">€ 37,55</t>
  </si>
  <si>
    <t xml:space="preserve">0169927</t>
  </si>
  <si>
    <t xml:space="preserve">8711465030007</t>
  </si>
  <si>
    <t xml:space="preserve">Plakplaat ALU 167 voor MultiVent/Ventub/Geïsoleerde Dakdoorvoer</t>
  </si>
  <si>
    <t xml:space="preserve">€ 38,20</t>
  </si>
  <si>
    <t xml:space="preserve">0170019</t>
  </si>
  <si>
    <t xml:space="preserve">8711465026000</t>
  </si>
  <si>
    <t xml:space="preserve">Dakdoorvoerpan 131 Holle 25-45° 1-pans A zwart</t>
  </si>
  <si>
    <t xml:space="preserve">€ 25,00</t>
  </si>
  <si>
    <t xml:space="preserve">0170026</t>
  </si>
  <si>
    <t xml:space="preserve">8711465026017</t>
  </si>
  <si>
    <t xml:space="preserve">Dakdoorvoerpan 131 Verbeterde Holle 25-45° 1-pans BC zwart</t>
  </si>
  <si>
    <t xml:space="preserve">€ 18,40</t>
  </si>
  <si>
    <t xml:space="preserve">0170028</t>
  </si>
  <si>
    <t xml:space="preserve">8713645063188</t>
  </si>
  <si>
    <t xml:space="preserve">Dakdoorvoerpan 131 Verbeterde Holle 25-45° 1-pans BC terracotta</t>
  </si>
  <si>
    <t xml:space="preserve">0170033</t>
  </si>
  <si>
    <t xml:space="preserve">8711465026024</t>
  </si>
  <si>
    <t xml:space="preserve">Dakdoorvoerpan 131 OVH Van Oordt/KDN206 25-45° 1-pans BIJ zwart</t>
  </si>
  <si>
    <t xml:space="preserve">0170040</t>
  </si>
  <si>
    <t xml:space="preserve">8711465026031</t>
  </si>
  <si>
    <t xml:space="preserve">Dakdoorvoerpan 131 Mulden Vlak 25-45° 1-pans G zwart</t>
  </si>
  <si>
    <t xml:space="preserve">0170057</t>
  </si>
  <si>
    <t xml:space="preserve">8711465026048</t>
  </si>
  <si>
    <t xml:space="preserve">Dakdoorvoerpan 131 Mulden Hol 25-45° 1-pans BP zwart</t>
  </si>
  <si>
    <t xml:space="preserve">0170064</t>
  </si>
  <si>
    <t xml:space="preserve">8711465027526</t>
  </si>
  <si>
    <t xml:space="preserve">Dakdoorvoerpan 131 Groot Romaans 25-45° 2-pans DK zwart</t>
  </si>
  <si>
    <t xml:space="preserve">€ 28,45</t>
  </si>
  <si>
    <t xml:space="preserve">0170071</t>
  </si>
  <si>
    <t xml:space="preserve">8711465026055</t>
  </si>
  <si>
    <t xml:space="preserve">Dakdoorvoerpan 131 Sneldek 25-45° 1-pans SND zwart</t>
  </si>
  <si>
    <t xml:space="preserve">0170088</t>
  </si>
  <si>
    <t xml:space="preserve">8711465026062</t>
  </si>
  <si>
    <t xml:space="preserve">Dakdoorvoerpan 131 Finkenberger 25-45° 1-pans FR zwart</t>
  </si>
  <si>
    <t xml:space="preserve">0170092</t>
  </si>
  <si>
    <t xml:space="preserve">8713645051505</t>
  </si>
  <si>
    <t xml:space="preserve">Dakdoorvoerpan 131 Nelskamp - NF 10 25-45° 1-pans NF10 zwart</t>
  </si>
  <si>
    <t xml:space="preserve">0170094</t>
  </si>
  <si>
    <t xml:space="preserve">8713645051512</t>
  </si>
  <si>
    <t xml:space="preserve">Dakdoorvoerpan 131 Nelskamp - NH 10 25-45° 1-pans NH10 zwart</t>
  </si>
  <si>
    <t xml:space="preserve">0170095</t>
  </si>
  <si>
    <t xml:space="preserve">8711465026079</t>
  </si>
  <si>
    <t xml:space="preserve">Dakdoorvoerpan 131 Neroma 25-45° 1-pans NER zwart</t>
  </si>
  <si>
    <t xml:space="preserve">€ 20,80</t>
  </si>
  <si>
    <t xml:space="preserve">0170097</t>
  </si>
  <si>
    <t xml:space="preserve">8713645008738</t>
  </si>
  <si>
    <t xml:space="preserve">Dakdoorvoerpan 131 FD groot Koramic 25-45° 1-pans FDK zwart</t>
  </si>
  <si>
    <t xml:space="preserve">0170105</t>
  </si>
  <si>
    <t xml:space="preserve">8711465026086</t>
  </si>
  <si>
    <t xml:space="preserve">Dakdoorvoerpan 131 Shingles, leien en bitumen (O/N) 25-45° O/N zwart</t>
  </si>
  <si>
    <t xml:space="preserve">0170129</t>
  </si>
  <si>
    <t xml:space="preserve">8711465026109</t>
  </si>
  <si>
    <t xml:space="preserve">Dakdoorvoerpan 131 Tuile du Nord 25-45° 4-pans E zwart</t>
  </si>
  <si>
    <t xml:space="preserve">€ 45,40</t>
  </si>
  <si>
    <t xml:space="preserve">0170135</t>
  </si>
  <si>
    <t xml:space="preserve">8713645050157</t>
  </si>
  <si>
    <t xml:space="preserve">Dakdoorvoerpan 131 Tuile du Nord Stormpan 2 25-45° 4-pans EST2 zwart</t>
  </si>
  <si>
    <t xml:space="preserve">0170136</t>
  </si>
  <si>
    <t xml:space="preserve">8711465027533</t>
  </si>
  <si>
    <t xml:space="preserve">Dakdoorvoerpan 131 Verb Tuile du Nord 3 kops 25-45° 4-pans FB zwart</t>
  </si>
  <si>
    <t xml:space="preserve">0170143</t>
  </si>
  <si>
    <t xml:space="preserve">8711465027540</t>
  </si>
  <si>
    <t xml:space="preserve">Dakdoorvoerpan 131 Eternit 177 x 51mm 25-45° Golfplaat GPN zwart</t>
  </si>
  <si>
    <t xml:space="preserve">0170151</t>
  </si>
  <si>
    <t xml:space="preserve">8713645117270</t>
  </si>
  <si>
    <t xml:space="preserve">Dakdoorvoerpan 131 Universeel voor rieten daken 25-45° UR zwart</t>
  </si>
  <si>
    <t xml:space="preserve">€ 52,65</t>
  </si>
  <si>
    <t xml:space="preserve">0170152</t>
  </si>
  <si>
    <t xml:space="preserve">8713645117317</t>
  </si>
  <si>
    <t xml:space="preserve">Dakdoorvoerpan 166 Universeel voor rieten daken 25-45° UR zwart</t>
  </si>
  <si>
    <t xml:space="preserve">€ 56,15</t>
  </si>
  <si>
    <t xml:space="preserve">0170153</t>
  </si>
  <si>
    <t xml:space="preserve">8713645117324</t>
  </si>
  <si>
    <t xml:space="preserve">Dakdoorvoerpan 214 Universeel voor rieten daken 25-45° UR zwart</t>
  </si>
  <si>
    <t xml:space="preserve">€ 59,75</t>
  </si>
  <si>
    <t xml:space="preserve">0170176</t>
  </si>
  <si>
    <t xml:space="preserve">8713645014692</t>
  </si>
  <si>
    <t xml:space="preserve">Dakdoorvoerpan 131 Renova 25-45° 1-pans REN zwart</t>
  </si>
  <si>
    <t xml:space="preserve">0170185</t>
  </si>
  <si>
    <t xml:space="preserve">8713645116402</t>
  </si>
  <si>
    <t xml:space="preserve">Dakdoorvoerpan 131 OVH (alle typen) 25-45° 1-pans BIJ zwart</t>
  </si>
  <si>
    <t xml:space="preserve">€ 24,05</t>
  </si>
  <si>
    <t xml:space="preserve">0170186</t>
  </si>
  <si>
    <t xml:space="preserve">8713645117034</t>
  </si>
  <si>
    <t xml:space="preserve">Dakdoorvoerpan 131 OVH (alle typen) 25-45° 1-pans BIJ terracotta</t>
  </si>
  <si>
    <t xml:space="preserve">0170208</t>
  </si>
  <si>
    <t xml:space="preserve">8711465026130</t>
  </si>
  <si>
    <t xml:space="preserve">Dakdoorvoerpan 131 Sneldek 35-55° 2-pans SND zwart</t>
  </si>
  <si>
    <t xml:space="preserve">€ 36,55</t>
  </si>
  <si>
    <t xml:space="preserve">0170239</t>
  </si>
  <si>
    <t xml:space="preserve">8711465027601</t>
  </si>
  <si>
    <t xml:space="preserve">Dakdoorvoerpan 131 Stonewold 25-45° 1-pans STO zwart</t>
  </si>
  <si>
    <t xml:space="preserve">0170253</t>
  </si>
  <si>
    <t xml:space="preserve">8711465027632</t>
  </si>
  <si>
    <t xml:space="preserve">Dakdoorvoerpan 131 OVH Romeins de Valk 25-45° 1-pans BF zwart</t>
  </si>
  <si>
    <t xml:space="preserve">0170259</t>
  </si>
  <si>
    <t xml:space="preserve">8713645007847</t>
  </si>
  <si>
    <t xml:space="preserve">Dakdoorvoerpan 131 Neroma 5-25° 1-pans NER zwart</t>
  </si>
  <si>
    <t xml:space="preserve">0170284</t>
  </si>
  <si>
    <t xml:space="preserve">8711465027656</t>
  </si>
  <si>
    <t xml:space="preserve">Dakdoorvoerpan 131 Stonewold 5-25° 1-pans STO zwart</t>
  </si>
  <si>
    <t xml:space="preserve">0170301</t>
  </si>
  <si>
    <t xml:space="preserve">8711465026161</t>
  </si>
  <si>
    <t xml:space="preserve">Dakdoorvoerpan 166 Holle 25-45° 4-pans A zwart</t>
  </si>
  <si>
    <t xml:space="preserve">0170305</t>
  </si>
  <si>
    <t xml:space="preserve">8713645124124</t>
  </si>
  <si>
    <t xml:space="preserve">Dakdoorvoerpan 131 De Nieuwe Hollander 25-45° 1-pans DNH zwart</t>
  </si>
  <si>
    <t xml:space="preserve">0170309</t>
  </si>
  <si>
    <t xml:space="preserve">8713645124131</t>
  </si>
  <si>
    <t xml:space="preserve">Dakdoorvoerpan 131 Verbeterde Holle Variabel 25-45° 1-pans VHV zwart</t>
  </si>
  <si>
    <t xml:space="preserve">0170310</t>
  </si>
  <si>
    <t xml:space="preserve">8713645215754</t>
  </si>
  <si>
    <t xml:space="preserve">Dakdoorvoerpan 131 Madura 25-45° 1-pans zwart</t>
  </si>
  <si>
    <t xml:space="preserve">0170311</t>
  </si>
  <si>
    <t xml:space="preserve">8713645215761</t>
  </si>
  <si>
    <t xml:space="preserve">Dakdoorvoerpan 131 Modula 25-45° 1-pans zwart</t>
  </si>
  <si>
    <t xml:space="preserve">0170312</t>
  </si>
  <si>
    <t xml:space="preserve">8713645215778</t>
  </si>
  <si>
    <t xml:space="preserve">Dakdoorvoerpan 131 Alegra 10 25-45° 1-pans zwart</t>
  </si>
  <si>
    <t xml:space="preserve">0170313</t>
  </si>
  <si>
    <t xml:space="preserve">8713645215785</t>
  </si>
  <si>
    <t xml:space="preserve">Dakdoorvoerpan 131 Alegra 12 25-45° 1-pans zwart</t>
  </si>
  <si>
    <t xml:space="preserve">0170314</t>
  </si>
  <si>
    <t xml:space="preserve">8713645218304</t>
  </si>
  <si>
    <t xml:space="preserve">Dakdoorvoerpan 131 Opnieuw Verbeterde Holle Vario 25-45° 1-pans zwart</t>
  </si>
  <si>
    <t xml:space="preserve">0170318</t>
  </si>
  <si>
    <t xml:space="preserve">8711465026178</t>
  </si>
  <si>
    <t xml:space="preserve">Dakdoorvoerpan 166 Verbeterde Holle 25-45° 4-pans BC zwart</t>
  </si>
  <si>
    <t xml:space="preserve">0170325</t>
  </si>
  <si>
    <t xml:space="preserve">8711465026185</t>
  </si>
  <si>
    <t xml:space="preserve">Dakdoorvoerpan 166 OVH (alle typen) 25-45° 4-pans BIJ zwart</t>
  </si>
  <si>
    <t xml:space="preserve">€ 43,70</t>
  </si>
  <si>
    <t xml:space="preserve">0170332</t>
  </si>
  <si>
    <t xml:space="preserve">8711465026192</t>
  </si>
  <si>
    <t xml:space="preserve">Dakdoorvoerpan 166 Mulden Vlak 25-45° 4-pans G zwart</t>
  </si>
  <si>
    <t xml:space="preserve">0170363</t>
  </si>
  <si>
    <t xml:space="preserve">8711465026222</t>
  </si>
  <si>
    <t xml:space="preserve">Dakdoorvoerpan 166 Sneldek 25-45° 1-pans SND zwart</t>
  </si>
  <si>
    <t xml:space="preserve">0170370</t>
  </si>
  <si>
    <t xml:space="preserve">8711465026239</t>
  </si>
  <si>
    <t xml:space="preserve">Dakdoorvoerpan 166 Finkenberger 25-45° 1-pans FR zwart</t>
  </si>
  <si>
    <t xml:space="preserve">0170387</t>
  </si>
  <si>
    <t xml:space="preserve">8711465026246</t>
  </si>
  <si>
    <t xml:space="preserve">Dakdoorvoerpan 166 Neroma 25-45° 1-pans NER zwart</t>
  </si>
  <si>
    <t xml:space="preserve">0170394</t>
  </si>
  <si>
    <t xml:space="preserve">8711465026253</t>
  </si>
  <si>
    <t xml:space="preserve">Dakdoorvoerpan 166 Shingles, leien en bitumen 25-45° O/N zwart</t>
  </si>
  <si>
    <t xml:space="preserve">0170411</t>
  </si>
  <si>
    <t xml:space="preserve">8711465026277</t>
  </si>
  <si>
    <t xml:space="preserve">Dakdoorvoerpan 166 Tuile du Nord 25-45° 4-pans E zwart</t>
  </si>
  <si>
    <t xml:space="preserve">0170435</t>
  </si>
  <si>
    <t xml:space="preserve">8711465027670</t>
  </si>
  <si>
    <t xml:space="preserve">Dakdoorvoerpan 166 Eternit 177 x 51mm 25-45° Golfplaat GPN zwart</t>
  </si>
  <si>
    <t xml:space="preserve">0170480</t>
  </si>
  <si>
    <t xml:space="preserve">8711465027700</t>
  </si>
  <si>
    <t xml:space="preserve">Dakdoorvoerpan 166 Tuile du Nord Stormpan 44 25-45° 4-pans EST zwart</t>
  </si>
  <si>
    <t xml:space="preserve">0170497</t>
  </si>
  <si>
    <t xml:space="preserve">8711465027717</t>
  </si>
  <si>
    <t xml:space="preserve">Dakdoorvoerpan 166 Stonewold 25-45° 1-pans STO zwart</t>
  </si>
  <si>
    <t xml:space="preserve">0170617</t>
  </si>
  <si>
    <t xml:space="preserve">8711465026345</t>
  </si>
  <si>
    <t xml:space="preserve">Dakdoorvoerpan 214 Verbeterde Holle 25-45° 4-pans BC zwart</t>
  </si>
  <si>
    <t xml:space="preserve">0170624</t>
  </si>
  <si>
    <t xml:space="preserve">8711465026352</t>
  </si>
  <si>
    <t xml:space="preserve">Dakdoorvoerpan 214 OVH (alle typen) Ø 214 25-45° 4-pans BIJ zwart</t>
  </si>
  <si>
    <t xml:space="preserve">0170662</t>
  </si>
  <si>
    <t xml:space="preserve">8711465026390</t>
  </si>
  <si>
    <t xml:space="preserve">Dakdoorvoerpan 214 Sneldek 25-45° 2-pans SND zwart</t>
  </si>
  <si>
    <t xml:space="preserve">0170679</t>
  </si>
  <si>
    <t xml:space="preserve">8711465026406</t>
  </si>
  <si>
    <t xml:space="preserve">Dakdoorvoerpan 214 Finkenberger 25-45° 2-pans FR zwart</t>
  </si>
  <si>
    <t xml:space="preserve">€ 37,85</t>
  </si>
  <si>
    <t xml:space="preserve">0170686</t>
  </si>
  <si>
    <t xml:space="preserve">8711465026413</t>
  </si>
  <si>
    <t xml:space="preserve">Dakdoorvoerpan 214 Neroma 25-45° 2-pans NER zwart</t>
  </si>
  <si>
    <t xml:space="preserve">0170693</t>
  </si>
  <si>
    <t xml:space="preserve">8711465026420</t>
  </si>
  <si>
    <t xml:space="preserve">Dakdoorvoerpan 214 Shingles, leien en bitumen 25-45° O/N zwart</t>
  </si>
  <si>
    <t xml:space="preserve">0170703</t>
  </si>
  <si>
    <t xml:space="preserve">8711465026437</t>
  </si>
  <si>
    <t xml:space="preserve">Dakdoorvoerpan 214 Neroma 5-25° 2-pans NER zwart</t>
  </si>
  <si>
    <t xml:space="preserve">0170710</t>
  </si>
  <si>
    <t xml:space="preserve">8711465026444</t>
  </si>
  <si>
    <t xml:space="preserve">Dakdoorvoerpan 214 Tuile du Nord 25-45° 4-pans E zwart</t>
  </si>
  <si>
    <t xml:space="preserve">0171001</t>
  </si>
  <si>
    <t xml:space="preserve">8711465027885</t>
  </si>
  <si>
    <t xml:space="preserve">Dakdoorvoerpan 131 Sneldek 5-25° 1-pans SND zwart</t>
  </si>
  <si>
    <t xml:space="preserve">0171002</t>
  </si>
  <si>
    <t xml:space="preserve">8713645010748</t>
  </si>
  <si>
    <t xml:space="preserve">Dakdoorvoerpan 131 Sneldek 5-25° 1-pans SND terracotta</t>
  </si>
  <si>
    <t xml:space="preserve">0171018</t>
  </si>
  <si>
    <t xml:space="preserve">8711465027892</t>
  </si>
  <si>
    <t xml:space="preserve">Dakdoorvoerpan 166 Sneldek 5-25° 1-pans SND zwart</t>
  </si>
  <si>
    <t xml:space="preserve">0171025</t>
  </si>
  <si>
    <t xml:space="preserve">8711465027908</t>
  </si>
  <si>
    <t xml:space="preserve">Dakdoorvoerpan 214 Sneldek 5-25° 2-pans SND zwart</t>
  </si>
  <si>
    <t xml:space="preserve">0171049</t>
  </si>
  <si>
    <t xml:space="preserve">8711465026604</t>
  </si>
  <si>
    <t xml:space="preserve">Dakdoorvoerpan 131 Utrechter RBB 25-45° 1-pans UTR zwart</t>
  </si>
  <si>
    <t xml:space="preserve">0171111</t>
  </si>
  <si>
    <t xml:space="preserve">8711465026642</t>
  </si>
  <si>
    <t xml:space="preserve">Dakdoorvoerpan 166 Sneldek 35-55° 2-pans SND zwart</t>
  </si>
  <si>
    <t xml:space="preserve">0171128</t>
  </si>
  <si>
    <t xml:space="preserve">8711465026659</t>
  </si>
  <si>
    <t xml:space="preserve">Dakdoorvoerpan 214 Sneldek 35-55° 2-pans SND zwart</t>
  </si>
  <si>
    <t xml:space="preserve">0171135</t>
  </si>
  <si>
    <t xml:space="preserve">8711465026666</t>
  </si>
  <si>
    <t xml:space="preserve">Dakdoorvoerpan 131 Verbeterde Holle 35-55° 4-pans BC zwart</t>
  </si>
  <si>
    <t xml:space="preserve">0171159</t>
  </si>
  <si>
    <t xml:space="preserve">8711465026680</t>
  </si>
  <si>
    <t xml:space="preserve">Dakdoorvoerpan 166 Neroma 35-55° 2-pans NER zwart</t>
  </si>
  <si>
    <t xml:space="preserve">0171166</t>
  </si>
  <si>
    <t xml:space="preserve">8711465026697</t>
  </si>
  <si>
    <t xml:space="preserve">Dakdoorvoerpan 214 Neroma 35-55° 2-pans NER zwart</t>
  </si>
  <si>
    <t xml:space="preserve">0171207</t>
  </si>
  <si>
    <t xml:space="preserve">8711465026727</t>
  </si>
  <si>
    <t xml:space="preserve">Dakdoorvoerpan 131 Shingles, leien en bitumen 5-25° O/N zwart</t>
  </si>
  <si>
    <t xml:space="preserve">0171214</t>
  </si>
  <si>
    <t xml:space="preserve">8711465026734</t>
  </si>
  <si>
    <t xml:space="preserve">Dakdoorvoerpan 166 Shingles, leien en bitumen 5-25° O/N zwart</t>
  </si>
  <si>
    <t xml:space="preserve">0171221</t>
  </si>
  <si>
    <t xml:space="preserve">8711465026741</t>
  </si>
  <si>
    <t xml:space="preserve">Dakdoorvoerpan 214 Shingles, leien en bitumen 5-25° O/N zwart</t>
  </si>
  <si>
    <t xml:space="preserve">0171230</t>
  </si>
  <si>
    <t xml:space="preserve">8713645014623</t>
  </si>
  <si>
    <t xml:space="preserve">Dakdoorvoerpan 131 OVH Van Oordt/KDN206 25-45° 1-pans BIJ</t>
  </si>
  <si>
    <t xml:space="preserve">0171238</t>
  </si>
  <si>
    <t xml:space="preserve">8711465125208</t>
  </si>
  <si>
    <t xml:space="preserve">Dakdoorvoerpan 131 Sneldek 25-45° 1-pans SND terracotta</t>
  </si>
  <si>
    <t xml:space="preserve">0171379</t>
  </si>
  <si>
    <t xml:space="preserve">8711465029001</t>
  </si>
  <si>
    <t xml:space="preserve">Dakdoorvoerpan 131 Neroma 25-45° 1-pans NER terracotta</t>
  </si>
  <si>
    <t xml:space="preserve">0171434</t>
  </si>
  <si>
    <t xml:space="preserve">8711465026789</t>
  </si>
  <si>
    <t xml:space="preserve">Dakdoorvoerpan 166 Verbeterde Holle 35-55° 4-pans BC zwart</t>
  </si>
  <si>
    <t xml:space="preserve">0171924</t>
  </si>
  <si>
    <t xml:space="preserve">8713645063232</t>
  </si>
  <si>
    <t xml:space="preserve">Dakdoorvoerpan 214 Universeel met Ubiflex indekdeel 35-55° UD zwart</t>
  </si>
  <si>
    <t xml:space="preserve">€ 109,15</t>
  </si>
  <si>
    <t xml:space="preserve">0171935</t>
  </si>
  <si>
    <t xml:space="preserve">8713645014289</t>
  </si>
  <si>
    <t xml:space="preserve">Dakdoorvoerpan Lood Universeel 166 25-45° 500mm x 500mm zwart</t>
  </si>
  <si>
    <t xml:space="preserve">€ 76,45</t>
  </si>
  <si>
    <t xml:space="preserve">0171941</t>
  </si>
  <si>
    <t xml:space="preserve">8713645012582</t>
  </si>
  <si>
    <t xml:space="preserve">Dakdoorvoerpan Lood Universeel 166 25-45° 500mm x 500mm</t>
  </si>
  <si>
    <t xml:space="preserve">€ 59,20</t>
  </si>
  <si>
    <t xml:space="preserve">0171942</t>
  </si>
  <si>
    <t xml:space="preserve">8713645012575</t>
  </si>
  <si>
    <t xml:space="preserve">Dakdoorvoerpan Lood Universeel 166 5-25° 500mm x 500mm</t>
  </si>
  <si>
    <t xml:space="preserve">0171946</t>
  </si>
  <si>
    <t xml:space="preserve">8713645181110</t>
  </si>
  <si>
    <t xml:space="preserve">Dakdoorvoerpan 166 Universeel met Ubiflex indekdeel 35-55° UD zwart</t>
  </si>
  <si>
    <t xml:space="preserve">€ 61,70</t>
  </si>
  <si>
    <t xml:space="preserve">0171948</t>
  </si>
  <si>
    <t xml:space="preserve">8711465125635</t>
  </si>
  <si>
    <t xml:space="preserve">Dakdoorvoerpan Lood Universeel 131 5-25° 500mm x 500mm</t>
  </si>
  <si>
    <t xml:space="preserve">€ 41,85</t>
  </si>
  <si>
    <t xml:space="preserve">0171952</t>
  </si>
  <si>
    <t xml:space="preserve">8713645014708</t>
  </si>
  <si>
    <t xml:space="preserve">Dakdoorvoerpan Lood Universeel 131 25-45° 500mm x 500mm zwart</t>
  </si>
  <si>
    <t xml:space="preserve">€ 52,60</t>
  </si>
  <si>
    <t xml:space="preserve">0171953</t>
  </si>
  <si>
    <t xml:space="preserve">8711465026895</t>
  </si>
  <si>
    <t xml:space="preserve">Dakdoorvoerpan Lood Universeel 131 35-55° 500mm x 500mm</t>
  </si>
  <si>
    <t xml:space="preserve">€ 49,50</t>
  </si>
  <si>
    <t xml:space="preserve">0171954</t>
  </si>
  <si>
    <t xml:space="preserve">8713645014630</t>
  </si>
  <si>
    <t xml:space="preserve">Dakdoorvoerpan Lood Universeel 131 25-45° 500mm x 500mm terracotta</t>
  </si>
  <si>
    <t xml:space="preserve">0171960</t>
  </si>
  <si>
    <t xml:space="preserve">8711465026901</t>
  </si>
  <si>
    <t xml:space="preserve">Dakdoorvoerpan Lood Universeel 131 25-45° 500mm x 500mm</t>
  </si>
  <si>
    <t xml:space="preserve">0171966</t>
  </si>
  <si>
    <t xml:space="preserve">8713645036212</t>
  </si>
  <si>
    <t xml:space="preserve">RVT 200 Ontluchtingspan Universeel grijs lood-blank</t>
  </si>
  <si>
    <t xml:space="preserve">€ 70,00</t>
  </si>
  <si>
    <t xml:space="preserve">0171971</t>
  </si>
  <si>
    <t xml:space="preserve">8713645012490</t>
  </si>
  <si>
    <t xml:space="preserve">RVT 200 Ontluchtingspan Universeel terracotta lood-blank</t>
  </si>
  <si>
    <t xml:space="preserve">0171984</t>
  </si>
  <si>
    <t xml:space="preserve">8711465026918</t>
  </si>
  <si>
    <t xml:space="preserve">Dakdoorvoerpan 131 OVH (alle typen) 35-55° 4-pans BIJ zwart</t>
  </si>
  <si>
    <t xml:space="preserve">0171991</t>
  </si>
  <si>
    <t xml:space="preserve">8711465026925</t>
  </si>
  <si>
    <t xml:space="preserve">Dakdoorvoerpan 166 OVH (alle typen) 35-55° 4-pans BIJ zwart</t>
  </si>
  <si>
    <t xml:space="preserve">0172000</t>
  </si>
  <si>
    <t xml:space="preserve">8711465026932</t>
  </si>
  <si>
    <t xml:space="preserve">Dakdoorvoerpan 214 OVH (alle typen) 35-55° 4-pans BIJ zwart</t>
  </si>
  <si>
    <t xml:space="preserve">0172004</t>
  </si>
  <si>
    <t xml:space="preserve">8713645050539</t>
  </si>
  <si>
    <t xml:space="preserve">Dakdoorvoerpan Lood Universeel 131 35-55° 500mm x 500mm zwart</t>
  </si>
  <si>
    <t xml:space="preserve">€ 61,85</t>
  </si>
  <si>
    <t xml:space="preserve">0172035</t>
  </si>
  <si>
    <t xml:space="preserve">8713645065885</t>
  </si>
  <si>
    <t xml:space="preserve">Dakdoorvoerpan Lood Universeel 131 35-55° 500mm x 500mm terracotta</t>
  </si>
  <si>
    <t xml:space="preserve">0172062</t>
  </si>
  <si>
    <t xml:space="preserve">8711465045506</t>
  </si>
  <si>
    <t xml:space="preserve">Ontluchtingspan Shingels zwart</t>
  </si>
  <si>
    <t xml:space="preserve">€ 30,95</t>
  </si>
  <si>
    <t xml:space="preserve">0172068</t>
  </si>
  <si>
    <t xml:space="preserve">8713645124476</t>
  </si>
  <si>
    <t xml:space="preserve">RVT 200 Ontluchtingspan Universeel grijs Ubiflex-zwart</t>
  </si>
  <si>
    <t xml:space="preserve">0172069</t>
  </si>
  <si>
    <t xml:space="preserve">8713645171470</t>
  </si>
  <si>
    <t xml:space="preserve">RVT 200 Ontluchtingspan Universeel natuurrood Ubiflex-natuurrood</t>
  </si>
  <si>
    <t xml:space="preserve">0174000</t>
  </si>
  <si>
    <t xml:space="preserve">8713645114446</t>
  </si>
  <si>
    <t xml:space="preserve">Ubiflex Dakdoorvoerpan Universeel 131 5-25° 500mm x 500mm zwart</t>
  </si>
  <si>
    <t xml:space="preserve">€ 41,00</t>
  </si>
  <si>
    <t xml:space="preserve">0174003</t>
  </si>
  <si>
    <t xml:space="preserve">8713645114477</t>
  </si>
  <si>
    <t xml:space="preserve">Ubiflex Dakdoorvoerpan Universeel 131 25-45° 500mm x 500mm zwart</t>
  </si>
  <si>
    <t xml:space="preserve">0174007</t>
  </si>
  <si>
    <t xml:space="preserve">8713645114514</t>
  </si>
  <si>
    <t xml:space="preserve">Ubiflex Dakdoorvoerpan Universeel 131 35-55° 500mm x 600mm zwart</t>
  </si>
  <si>
    <t xml:space="preserve">€ 48,60</t>
  </si>
  <si>
    <t xml:space="preserve">0174010</t>
  </si>
  <si>
    <t xml:space="preserve">8713645114545</t>
  </si>
  <si>
    <t xml:space="preserve">Ubiflex Dakdoorvoerpan Universeel 166 5-25° 500mm x 600mm zwart</t>
  </si>
  <si>
    <t xml:space="preserve">€ 58,00</t>
  </si>
  <si>
    <t xml:space="preserve">0174013</t>
  </si>
  <si>
    <t xml:space="preserve">8713645114576</t>
  </si>
  <si>
    <t xml:space="preserve">Ubiflex Dakdoorvoerpan Universeel 166 25-45° 500mm x 600mm zwart</t>
  </si>
  <si>
    <t xml:space="preserve">0174019</t>
  </si>
  <si>
    <t xml:space="preserve">8713645121222</t>
  </si>
  <si>
    <t xml:space="preserve">Ubiflex Dakdoorvoerpan Universeel 131 5-25° 700mm x 1000mm zwart</t>
  </si>
  <si>
    <t xml:space="preserve">€ 83,95</t>
  </si>
  <si>
    <t xml:space="preserve">0174021</t>
  </si>
  <si>
    <t xml:space="preserve">8713645121246</t>
  </si>
  <si>
    <t xml:space="preserve">Ubiflex Dakdoorvoerpan Universeel 131 35-55° 700mm x 1000mm zwart</t>
  </si>
  <si>
    <t xml:space="preserve">€ 88,65</t>
  </si>
  <si>
    <t xml:space="preserve">0174022</t>
  </si>
  <si>
    <t xml:space="preserve">8713645121253</t>
  </si>
  <si>
    <t xml:space="preserve">Ubiflex Dakdoorvoerpan Universeel 166 5-25° 700mm x 1000mm zwart</t>
  </si>
  <si>
    <t xml:space="preserve">€ 107,25</t>
  </si>
  <si>
    <t xml:space="preserve">0174023</t>
  </si>
  <si>
    <t xml:space="preserve">8713645121260</t>
  </si>
  <si>
    <t xml:space="preserve">Ubiflex Dakdoorvoerpan Universeel 166 25-45° 700mm x 1000mm zwart</t>
  </si>
  <si>
    <t xml:space="preserve">0174024</t>
  </si>
  <si>
    <t xml:space="preserve">8713645132150</t>
  </si>
  <si>
    <t xml:space="preserve">Ubiflex Dakdoorvoerpan Universeel 131 25-45° 500mm x 500mm terracotta</t>
  </si>
  <si>
    <t xml:space="preserve">0174028</t>
  </si>
  <si>
    <t xml:space="preserve">8713645123356</t>
  </si>
  <si>
    <t xml:space="preserve">Ubiflex Dakdoorvoerpan Universeel 131 5-25° 500mm x 500mm terracotta</t>
  </si>
  <si>
    <t xml:space="preserve">0174029</t>
  </si>
  <si>
    <t xml:space="preserve">8713645123363</t>
  </si>
  <si>
    <t xml:space="preserve">Ubiflex Dakdoorvoerpan Universeel 131 25-45° 500mm x 500mm natuurrood</t>
  </si>
  <si>
    <t xml:space="preserve">0174030</t>
  </si>
  <si>
    <t xml:space="preserve">8713645123370</t>
  </si>
  <si>
    <t xml:space="preserve">Ubiflex Dakdoorvoerpan Universeel 131 35-55° 500mm x 600mm terracotta</t>
  </si>
  <si>
    <t xml:space="preserve">0174031</t>
  </si>
  <si>
    <t xml:space="preserve">8713645124063</t>
  </si>
  <si>
    <t xml:space="preserve">Ubiflex Dakdoorvoerpan Universeel 166 5-25° 500mm x 600mm natuurrood</t>
  </si>
  <si>
    <t xml:space="preserve">0174032</t>
  </si>
  <si>
    <t xml:space="preserve">8713645124117</t>
  </si>
  <si>
    <t xml:space="preserve">Ubiflex Dakdoorvoerpan Universeel 166 25-45° 500mm x 600mm natuurrood</t>
  </si>
  <si>
    <t xml:space="preserve">0174035</t>
  </si>
  <si>
    <t xml:space="preserve">8713645131542</t>
  </si>
  <si>
    <t xml:space="preserve">Ubiflex Dakdoorvoerpan Universeel 166 35-55° 700mm x 1000mm zwart</t>
  </si>
  <si>
    <t xml:space="preserve">0174037</t>
  </si>
  <si>
    <t xml:space="preserve">8713645171449</t>
  </si>
  <si>
    <t xml:space="preserve">Ubiflex Dakdoorvoerpan Universeel 166 35-55° 700mm x 1000mm natuurrood</t>
  </si>
  <si>
    <t xml:space="preserve">0174039</t>
  </si>
  <si>
    <t xml:space="preserve">8713645171265</t>
  </si>
  <si>
    <t xml:space="preserve">Ubiflex Dakdoorvoerpan Universeel 131 25-45° 700mm x 1000mm zwart</t>
  </si>
  <si>
    <t xml:space="preserve">0174040</t>
  </si>
  <si>
    <t xml:space="preserve">8713645131535</t>
  </si>
  <si>
    <t xml:space="preserve">Ubiflex Dakdoorvoerpan Universeel 214 25-45° 700mm x 1000mm zwart</t>
  </si>
  <si>
    <t xml:space="preserve">0174045</t>
  </si>
  <si>
    <t xml:space="preserve">8713645179919</t>
  </si>
  <si>
    <t xml:space="preserve">Ubiflex Dakdoorvoerpan Universeel 131 35-55° 500mm x 600mm natuurrood</t>
  </si>
  <si>
    <t xml:space="preserve">0174046</t>
  </si>
  <si>
    <t xml:space="preserve">8713645179926</t>
  </si>
  <si>
    <t xml:space="preserve">Ubiflex Dakdoorvoerpan Universeel 131 5-25° 500mm x 500mm natuurrood</t>
  </si>
  <si>
    <t xml:space="preserve">0174050</t>
  </si>
  <si>
    <t xml:space="preserve">8713645201085</t>
  </si>
  <si>
    <t xml:space="preserve">Universele Ubiflex DDV-pan 15-55° 131 500mm x 600mm zwart met schaal</t>
  </si>
  <si>
    <t xml:space="preserve">€ 40,80</t>
  </si>
  <si>
    <t xml:space="preserve">0174431</t>
  </si>
  <si>
    <t xml:space="preserve">8711465028202</t>
  </si>
  <si>
    <t xml:space="preserve">Dakdoorvoerpan 131 Finkenberger 35-55° 2-pans FR zwart</t>
  </si>
  <si>
    <t xml:space="preserve">0174527</t>
  </si>
  <si>
    <t xml:space="preserve">8711465028219</t>
  </si>
  <si>
    <t xml:space="preserve">Dakdoorvoerpan 166 Eternit 177 x 51mm 5-25° Golfplaat GPN zwart</t>
  </si>
  <si>
    <t xml:space="preserve">0176226</t>
  </si>
  <si>
    <t xml:space="preserve">8711465027243</t>
  </si>
  <si>
    <t xml:space="preserve">Dakdoorvoerpan 131 Neroma 35-55° 2-pans NER zwart</t>
  </si>
  <si>
    <t xml:space="preserve">0177940</t>
  </si>
  <si>
    <t xml:space="preserve">8711465028288</t>
  </si>
  <si>
    <t xml:space="preserve">Dakdoorvoerpan 131 Tuile du Nord Stormpan 25-45° 4-pans EST zwart</t>
  </si>
  <si>
    <t xml:space="preserve">0180463</t>
  </si>
  <si>
    <t xml:space="preserve">8711465079204</t>
  </si>
  <si>
    <t xml:space="preserve">DDV-pan horizontaal 125 30-45° Universeel met Ubiflex indekdeel zwart</t>
  </si>
  <si>
    <t xml:space="preserve">€ 117,50</t>
  </si>
  <si>
    <t xml:space="preserve">0180470</t>
  </si>
  <si>
    <t xml:space="preserve">8711465079211</t>
  </si>
  <si>
    <t xml:space="preserve">DDV-pan horizontaal 125 40-55° Universeel met Ubiflex indekdeel zwart</t>
  </si>
  <si>
    <t xml:space="preserve">0184199</t>
  </si>
  <si>
    <t xml:space="preserve">8713645118055</t>
  </si>
  <si>
    <t xml:space="preserve">Rolux 4G Dakdoorvoer HR Conc PP/metaal 100/150 1210mm Zwart</t>
  </si>
  <si>
    <t xml:space="preserve">€ 190,80</t>
  </si>
  <si>
    <t xml:space="preserve">0184215</t>
  </si>
  <si>
    <t xml:space="preserve">8713645124186</t>
  </si>
  <si>
    <t xml:space="preserve">Rolux Universe Dakdoorvoer HR Par 80-80 PP/KS 60/100 schaal zwart</t>
  </si>
  <si>
    <t xml:space="preserve">€ 109,40</t>
  </si>
  <si>
    <t xml:space="preserve">0184216</t>
  </si>
  <si>
    <t xml:space="preserve">8713645124230</t>
  </si>
  <si>
    <t xml:space="preserve">Rolux Universe DDV HR Par 80-80 PP/KS 60/100 flexibele schaal zwart</t>
  </si>
  <si>
    <t xml:space="preserve">€ 122,05</t>
  </si>
  <si>
    <t xml:space="preserve">0184219</t>
  </si>
  <si>
    <t xml:space="preserve">8713645221397</t>
  </si>
  <si>
    <t xml:space="preserve">Rolux Universe Dakdoorvoer HR Conc PP/KS 60/100 flexibele schaal zwart</t>
  </si>
  <si>
    <t xml:space="preserve">€ 118,45</t>
  </si>
  <si>
    <t xml:space="preserve">0184223</t>
  </si>
  <si>
    <t xml:space="preserve">8713645132259</t>
  </si>
  <si>
    <t xml:space="preserve">Rolux Universe DDV HR Par 80-80 PP/KS 60/100 schaal + pan 25-45° zwart</t>
  </si>
  <si>
    <t xml:space="preserve">€ 147,15</t>
  </si>
  <si>
    <t xml:space="preserve">0184250</t>
  </si>
  <si>
    <t xml:space="preserve">8713645214559</t>
  </si>
  <si>
    <t xml:space="preserve">Rolux 5G Dakdoorvoer HR Conc PP/KS 60/100 1570mm zwart</t>
  </si>
  <si>
    <t xml:space="preserve">€ 85,25</t>
  </si>
  <si>
    <t xml:space="preserve">0184251</t>
  </si>
  <si>
    <t xml:space="preserve">8713645229164</t>
  </si>
  <si>
    <t xml:space="preserve">Rolux 5G Dakdoorvoer HR Conc PP/KS 60/100 1570mm terracotta</t>
  </si>
  <si>
    <t xml:space="preserve">0184403</t>
  </si>
  <si>
    <t xml:space="preserve">8713645194240</t>
  </si>
  <si>
    <t xml:space="preserve">Rolux 5G Dakdoorvoer HR Par 80-80 PP/KS 80/125 1280mm zwart</t>
  </si>
  <si>
    <t xml:space="preserve">€ 92,40</t>
  </si>
  <si>
    <t xml:space="preserve">0184404</t>
  </si>
  <si>
    <t xml:space="preserve">8713645194257</t>
  </si>
  <si>
    <t xml:space="preserve">Rolux 5G Dakdoorvoer HR Conc PP/KS 80/125 1570mm zwart</t>
  </si>
  <si>
    <t xml:space="preserve">0184419</t>
  </si>
  <si>
    <t xml:space="preserve">8713645217345</t>
  </si>
  <si>
    <t xml:space="preserve">Rolux 5G Dakdoorvoer HR Conc PP/KS 80/125 1570mm terracotta</t>
  </si>
  <si>
    <t xml:space="preserve">€ 89,70</t>
  </si>
  <si>
    <t xml:space="preserve">0184421</t>
  </si>
  <si>
    <t xml:space="preserve">8713645219325</t>
  </si>
  <si>
    <t xml:space="preserve">Rolux 5G Dakdoorvoer HR Conc PP/KS 80/125 1420mm zwart</t>
  </si>
  <si>
    <t xml:space="preserve">0184433</t>
  </si>
  <si>
    <t xml:space="preserve">8713645195117</t>
  </si>
  <si>
    <t xml:space="preserve">Rolux 5G Schoorsteentop KS voor Rolux Flex 60 zwart</t>
  </si>
  <si>
    <t xml:space="preserve">€ 100,25</t>
  </si>
  <si>
    <t xml:space="preserve">0184434</t>
  </si>
  <si>
    <t xml:space="preserve">8713645195124</t>
  </si>
  <si>
    <t xml:space="preserve">Rolux 5G Schoorsteentop KS voor Rolux Flex 80 zwart</t>
  </si>
  <si>
    <t xml:space="preserve">0185420</t>
  </si>
  <si>
    <t xml:space="preserve">8713645221403</t>
  </si>
  <si>
    <t xml:space="preserve">Muurdoorvoer HR Par PP/PP 80-80 600mm zwart met muurplaten</t>
  </si>
  <si>
    <t xml:space="preserve">€ 99,85</t>
  </si>
  <si>
    <t xml:space="preserve">0187490</t>
  </si>
  <si>
    <t xml:space="preserve">8713645201719</t>
  </si>
  <si>
    <t xml:space="preserve">Rolux 5G Combi Dakdoorvoer HR Par PP/KS 80/125-Vent125 2030mm zwart</t>
  </si>
  <si>
    <t xml:space="preserve">€ 244,85</t>
  </si>
  <si>
    <t xml:space="preserve">0187492</t>
  </si>
  <si>
    <t xml:space="preserve">8713645203287</t>
  </si>
  <si>
    <t xml:space="preserve">Rolux 5G Combi Dakdoorvoer HR Par PP/KS 80/125-Vent125 1780mm zwart</t>
  </si>
  <si>
    <t xml:space="preserve">€ 236,45</t>
  </si>
  <si>
    <t xml:space="preserve">0187494</t>
  </si>
  <si>
    <t xml:space="preserve">8713645217215</t>
  </si>
  <si>
    <t xml:space="preserve">Rolux 5G Combi Dakdoorvoer HR Conc PP/KS 60/100-Vent125 2100mm zwart</t>
  </si>
  <si>
    <t xml:space="preserve">€ 237,70</t>
  </si>
  <si>
    <t xml:space="preserve">0187495</t>
  </si>
  <si>
    <t xml:space="preserve">8713645217222</t>
  </si>
  <si>
    <t xml:space="preserve">Rolux 5G Combi Dakdoorvoer HR Conc PP/KS 60/100-Vent125 1880mm zwart</t>
  </si>
  <si>
    <t xml:space="preserve">€ 229,55</t>
  </si>
  <si>
    <t xml:space="preserve">0187496</t>
  </si>
  <si>
    <t xml:space="preserve">8713645220710</t>
  </si>
  <si>
    <t xml:space="preserve">Rolux 5G Combi Dakdoorvoer HR Conc PP/KS 80/125-Vent125 1780mm zwart</t>
  </si>
  <si>
    <t xml:space="preserve">0187497</t>
  </si>
  <si>
    <t xml:space="preserve">8713645221540</t>
  </si>
  <si>
    <t xml:space="preserve">Rolux 5G Combi Dakdoorvoer HR Conc PP/KS 80/125-Vent125 2030mm zwart</t>
  </si>
  <si>
    <t xml:space="preserve">0187584</t>
  </si>
  <si>
    <t xml:space="preserve">8713645014647</t>
  </si>
  <si>
    <t xml:space="preserve">Broekstuk 80/125 naar 80-80 wit</t>
  </si>
  <si>
    <t xml:space="preserve">€ 22,25</t>
  </si>
  <si>
    <t xml:space="preserve">0187590</t>
  </si>
  <si>
    <t xml:space="preserve">8713645124056</t>
  </si>
  <si>
    <t xml:space="preserve">Broekstuk 100/150 naar 100-100 wit</t>
  </si>
  <si>
    <t xml:space="preserve">0187594</t>
  </si>
  <si>
    <t xml:space="preserve">8713645211787</t>
  </si>
  <si>
    <t xml:space="preserve">Broekstuk 80/125 naar 80-80 wit voor Conc Rolux 5G</t>
  </si>
  <si>
    <t xml:space="preserve">€ 23,90</t>
  </si>
  <si>
    <t xml:space="preserve">0187596</t>
  </si>
  <si>
    <t xml:space="preserve">8713645228310</t>
  </si>
  <si>
    <t xml:space="preserve">Broekstuk 60/100 naar 80-80 wit</t>
  </si>
  <si>
    <t xml:space="preserve">€ 22,85</t>
  </si>
  <si>
    <t xml:space="preserve">0188010</t>
  </si>
  <si>
    <t xml:space="preserve">8713645203324</t>
  </si>
  <si>
    <t xml:space="preserve">MultiVent 5V Combi Dakdoorvoer 2x125 1650mm zwart</t>
  </si>
  <si>
    <t xml:space="preserve">€ 136,65</t>
  </si>
  <si>
    <t xml:space="preserve">0188011</t>
  </si>
  <si>
    <t xml:space="preserve">8713645203331</t>
  </si>
  <si>
    <t xml:space="preserve">MultiVent 5V Combi Dakdoorvoer 2x125 1900mm zwart</t>
  </si>
  <si>
    <t xml:space="preserve">€ 152,20</t>
  </si>
  <si>
    <t xml:space="preserve">0188049</t>
  </si>
  <si>
    <t xml:space="preserve">8716236473090</t>
  </si>
  <si>
    <t xml:space="preserve">Air Excellent Ventiel Afvoer metaal 125 wit</t>
  </si>
  <si>
    <t xml:space="preserve">€ 11,85</t>
  </si>
  <si>
    <t xml:space="preserve">0188050</t>
  </si>
  <si>
    <t xml:space="preserve">8716236473144</t>
  </si>
  <si>
    <t xml:space="preserve">Air Excellent Ventiel Toevoer metaal 125 wit</t>
  </si>
  <si>
    <t xml:space="preserve">0188053</t>
  </si>
  <si>
    <t xml:space="preserve">8713645219516</t>
  </si>
  <si>
    <t xml:space="preserve">Air Excellent Ventiel Toe-, afvoer KS 125 wit</t>
  </si>
  <si>
    <t xml:space="preserve">€ 8,35</t>
  </si>
  <si>
    <t xml:space="preserve">0188060</t>
  </si>
  <si>
    <t xml:space="preserve">8713645222677</t>
  </si>
  <si>
    <t xml:space="preserve">Haelix Rondo Ventiel Toe-, afvoer KS 125 wit</t>
  </si>
  <si>
    <t xml:space="preserve">€ 32,55</t>
  </si>
  <si>
    <t xml:space="preserve">0188061</t>
  </si>
  <si>
    <t xml:space="preserve">8713645222684</t>
  </si>
  <si>
    <t xml:space="preserve">Haelix Quadro Ventiel Toe-, afvoer KS 125 wit</t>
  </si>
  <si>
    <t xml:space="preserve">0188121</t>
  </si>
  <si>
    <t xml:space="preserve">8713645194707</t>
  </si>
  <si>
    <t xml:space="preserve">Air Excellent AE55sc Montagebeugel</t>
  </si>
  <si>
    <t xml:space="preserve">0188150</t>
  </si>
  <si>
    <t xml:space="preserve">8713645194714</t>
  </si>
  <si>
    <t xml:space="preserve">Air Excellent AE55sc Ventieladapter 90° 125 met 1 afdekkap</t>
  </si>
  <si>
    <t xml:space="preserve">0188152</t>
  </si>
  <si>
    <t xml:space="preserve">8713645194721</t>
  </si>
  <si>
    <t xml:space="preserve">Air Excellent AE55sc Afdichtring</t>
  </si>
  <si>
    <t xml:space="preserve">0188153</t>
  </si>
  <si>
    <t xml:space="preserve">8713645194738</t>
  </si>
  <si>
    <t xml:space="preserve">Air Excellent AE55sc Bocht 90° verticaal</t>
  </si>
  <si>
    <t xml:space="preserve">€ 12,20</t>
  </si>
  <si>
    <t xml:space="preserve">0188154</t>
  </si>
  <si>
    <t xml:space="preserve">8713645194745</t>
  </si>
  <si>
    <t xml:space="preserve">Air Excellent AE55sc Bocht 90° horizontaal</t>
  </si>
  <si>
    <t xml:space="preserve">0188155</t>
  </si>
  <si>
    <t xml:space="preserve">8713645194752</t>
  </si>
  <si>
    <t xml:space="preserve">Air Excellent AE55sc Afdekkap</t>
  </si>
  <si>
    <t xml:space="preserve">0188156</t>
  </si>
  <si>
    <t xml:space="preserve">8713645194769</t>
  </si>
  <si>
    <t xml:space="preserve">Air Excellent AE55sc Koppelstuk</t>
  </si>
  <si>
    <t xml:space="preserve">€ 9,50</t>
  </si>
  <si>
    <t xml:space="preserve">0188159</t>
  </si>
  <si>
    <t xml:space="preserve">8713645194783</t>
  </si>
  <si>
    <t xml:space="preserve">Air Excellent Aansluitstuk AE55sc voor metalen luchtverdeelkast</t>
  </si>
  <si>
    <t xml:space="preserve">€ 6,65</t>
  </si>
  <si>
    <t xml:space="preserve">0188164</t>
  </si>
  <si>
    <t xml:space="preserve">8713645194691</t>
  </si>
  <si>
    <t xml:space="preserve">Air Excellent AE55sc Ventieladapter 180° 125 met 1 afdekkap</t>
  </si>
  <si>
    <t xml:space="preserve">€ 29,20</t>
  </si>
  <si>
    <t xml:space="preserve">0188174</t>
  </si>
  <si>
    <t xml:space="preserve">8713645215747</t>
  </si>
  <si>
    <t xml:space="preserve">Air Excellent AE48c Bocht 90°</t>
  </si>
  <si>
    <t xml:space="preserve">€ 15,40</t>
  </si>
  <si>
    <t xml:space="preserve">0188202</t>
  </si>
  <si>
    <t xml:space="preserve">8713645203386</t>
  </si>
  <si>
    <t xml:space="preserve">Aerfoam geïsoleerd leidingsysteem Verlengbuis EPE 125 2000mm grijs</t>
  </si>
  <si>
    <t xml:space="preserve">€ 41,70</t>
  </si>
  <si>
    <t xml:space="preserve">0188205</t>
  </si>
  <si>
    <t xml:space="preserve">8713645203393</t>
  </si>
  <si>
    <t xml:space="preserve">Aerfoam geïsoleerd leidingsysteem Verlengbuis EPE 150 2000mm grijs</t>
  </si>
  <si>
    <t xml:space="preserve">€ 42,25</t>
  </si>
  <si>
    <t xml:space="preserve">0188206</t>
  </si>
  <si>
    <t xml:space="preserve">8713645203409</t>
  </si>
  <si>
    <t xml:space="preserve">Aerfoam geïsoleerd leidingsysteem Verlengbuis EPE 180 2000mm grijs</t>
  </si>
  <si>
    <t xml:space="preserve">€ 49,45</t>
  </si>
  <si>
    <t xml:space="preserve">0188207</t>
  </si>
  <si>
    <t xml:space="preserve">8713645228563</t>
  </si>
  <si>
    <t xml:space="preserve">Aerfoam geïsoleerd leidingsysteem Verlengbuis EPE 125 1000mm grijs</t>
  </si>
  <si>
    <t xml:space="preserve">€ 22,00</t>
  </si>
  <si>
    <t xml:space="preserve">0188209</t>
  </si>
  <si>
    <t xml:space="preserve">8713645228570</t>
  </si>
  <si>
    <t xml:space="preserve">Aerfoam geïsoleerd leidingsysteem Verlengbuis EPE 180 1000mm grijs</t>
  </si>
  <si>
    <t xml:space="preserve">€ 27,40</t>
  </si>
  <si>
    <t xml:space="preserve">0188210</t>
  </si>
  <si>
    <t xml:space="preserve">8713645200552</t>
  </si>
  <si>
    <t xml:space="preserve">Aerfoam geïsoleerd leidingsysteem Verlengbuis EPE 160 2000mm grijs</t>
  </si>
  <si>
    <t xml:space="preserve">€ 44,30</t>
  </si>
  <si>
    <t xml:space="preserve">0188211</t>
  </si>
  <si>
    <t xml:space="preserve">8713645203430</t>
  </si>
  <si>
    <t xml:space="preserve">Aerfoam geïsoleerd leidingsysteem Verlengbuis EPE 160 1000mm grijs</t>
  </si>
  <si>
    <t xml:space="preserve">€ 23,25</t>
  </si>
  <si>
    <t xml:space="preserve">0188224</t>
  </si>
  <si>
    <t xml:space="preserve">8713645203416</t>
  </si>
  <si>
    <t xml:space="preserve">Aerfoam geïsoleerd leidingsysteem Bocht 45° EPE 160 grijs</t>
  </si>
  <si>
    <t xml:space="preserve">€ 6,50</t>
  </si>
  <si>
    <t xml:space="preserve">0188225</t>
  </si>
  <si>
    <t xml:space="preserve">8713645203423</t>
  </si>
  <si>
    <t xml:space="preserve">Aerfoam geïsoleerd leidingsysteem Bocht 90° EPE 160 grijs</t>
  </si>
  <si>
    <t xml:space="preserve">€ 10,60</t>
  </si>
  <si>
    <t xml:space="preserve">0188231</t>
  </si>
  <si>
    <t xml:space="preserve">8713645061832</t>
  </si>
  <si>
    <t xml:space="preserve">Aerfoam geïsoleerd leidingsysteem Afkortmes</t>
  </si>
  <si>
    <t xml:space="preserve">€ 35,65</t>
  </si>
  <si>
    <t xml:space="preserve">0188236</t>
  </si>
  <si>
    <t xml:space="preserve">8713645118864</t>
  </si>
  <si>
    <t xml:space="preserve">Aerfoam geïsoleerd leidingsysteem T-stuk 90° EPE 180-125 KS grijs</t>
  </si>
  <si>
    <t xml:space="preserve">€ 48,25</t>
  </si>
  <si>
    <t xml:space="preserve">0188244</t>
  </si>
  <si>
    <t xml:space="preserve">8713645118666</t>
  </si>
  <si>
    <t xml:space="preserve">Aerfoam geïsoleerd leidingsysteem T-stuk 45° EPS 150 grijs</t>
  </si>
  <si>
    <t xml:space="preserve">€ 48,95</t>
  </si>
  <si>
    <t xml:space="preserve">0188245</t>
  </si>
  <si>
    <t xml:space="preserve">8713645118710</t>
  </si>
  <si>
    <t xml:space="preserve">Aerfoam geïsoleerd leidingsysteem T-stuk 45° EPS 180 grijs</t>
  </si>
  <si>
    <t xml:space="preserve">0188255</t>
  </si>
  <si>
    <t xml:space="preserve">8713645201900</t>
  </si>
  <si>
    <t xml:space="preserve">Aerfoam geïsoleerd leidingsysteem Koppelstuk KS 160 grijs</t>
  </si>
  <si>
    <t xml:space="preserve">€ 4,25</t>
  </si>
  <si>
    <t xml:space="preserve">0188262</t>
  </si>
  <si>
    <t xml:space="preserve">8713645122984</t>
  </si>
  <si>
    <t xml:space="preserve">Aerfoam geïsoleerd leidingsysteem Bocht 45° EPE 125 grijs</t>
  </si>
  <si>
    <t xml:space="preserve">0188263</t>
  </si>
  <si>
    <t xml:space="preserve">8713645122991</t>
  </si>
  <si>
    <t xml:space="preserve">Aerfoam geïsoleerd leidingsysteem Bocht 90° EPE 125 grijs</t>
  </si>
  <si>
    <t xml:space="preserve">€ 7,55</t>
  </si>
  <si>
    <t xml:space="preserve">0188264</t>
  </si>
  <si>
    <t xml:space="preserve">8713645123004</t>
  </si>
  <si>
    <t xml:space="preserve">Aerfoam geïsoleerd leidingsysteem T-stuk 90° EPE 125 grijs</t>
  </si>
  <si>
    <t xml:space="preserve">€ 20,40</t>
  </si>
  <si>
    <t xml:space="preserve">0188265</t>
  </si>
  <si>
    <t xml:space="preserve">8713645123011</t>
  </si>
  <si>
    <t xml:space="preserve">Aerfoam geïsoleerd leidingsysteem Koppelstuk KS 125 grijs</t>
  </si>
  <si>
    <t xml:space="preserve">€ 5,55</t>
  </si>
  <si>
    <t xml:space="preserve">0188266</t>
  </si>
  <si>
    <t xml:space="preserve">8713645211824</t>
  </si>
  <si>
    <t xml:space="preserve">Aerfoam geïsoleerd leidingsysteem T-stuk 90° EPE 160 grijs</t>
  </si>
  <si>
    <t xml:space="preserve">€ 22,30</t>
  </si>
  <si>
    <t xml:space="preserve">0188270</t>
  </si>
  <si>
    <t xml:space="preserve">8713645123028</t>
  </si>
  <si>
    <t xml:space="preserve">Aerfoam geïsoleerd leidingsysteem Bocht 15° EPE 150 grijs</t>
  </si>
  <si>
    <t xml:space="preserve">€ 5,75</t>
  </si>
  <si>
    <t xml:space="preserve">0188271</t>
  </si>
  <si>
    <t xml:space="preserve">8713645123035</t>
  </si>
  <si>
    <t xml:space="preserve">Aerfoam geïsoleerd leidingsysteem Bocht 30° EPE 150 grijs</t>
  </si>
  <si>
    <t xml:space="preserve">0188272</t>
  </si>
  <si>
    <t xml:space="preserve">8713645123042</t>
  </si>
  <si>
    <t xml:space="preserve">Aerfoam geïsoleerd leidingsysteem Bocht 45° EPE 150 grijs</t>
  </si>
  <si>
    <t xml:space="preserve">0188273</t>
  </si>
  <si>
    <t xml:space="preserve">8713645123059</t>
  </si>
  <si>
    <t xml:space="preserve">Aerfoam geïsoleerd leidingsysteem Bocht 90° EPE 150 grijs</t>
  </si>
  <si>
    <t xml:space="preserve">€ 9,45</t>
  </si>
  <si>
    <t xml:space="preserve">0188275</t>
  </si>
  <si>
    <t xml:space="preserve">8713645123066</t>
  </si>
  <si>
    <t xml:space="preserve">Aerfoam geïsoleerd leidingsysteem Koppelstuk KS 150 grijs</t>
  </si>
  <si>
    <t xml:space="preserve">0188279</t>
  </si>
  <si>
    <t xml:space="preserve">8713645218007</t>
  </si>
  <si>
    <t xml:space="preserve">Luchtdicht Dakdoorvoermanchet 150-186 0-55° XXL voor Prefab Dakkap</t>
  </si>
  <si>
    <t xml:space="preserve">€ 45,95</t>
  </si>
  <si>
    <t xml:space="preserve">0188280</t>
  </si>
  <si>
    <t xml:space="preserve">8713645123073</t>
  </si>
  <si>
    <t xml:space="preserve">Aerfoam geïsoleerd leidingsysteem Bocht 15° EPE 180 grijs</t>
  </si>
  <si>
    <t xml:space="preserve">€ 7,50</t>
  </si>
  <si>
    <t xml:space="preserve">0188281</t>
  </si>
  <si>
    <t xml:space="preserve">8713645123080</t>
  </si>
  <si>
    <t xml:space="preserve">Aerfoam geïsoleerd leidingsysteem Bocht 30° EPE 180 grijs</t>
  </si>
  <si>
    <t xml:space="preserve">0188282</t>
  </si>
  <si>
    <t xml:space="preserve">8713645123097</t>
  </si>
  <si>
    <t xml:space="preserve">Aerfoam geïsoleerd leidingsysteem Bocht 45° EPE 180 grijs</t>
  </si>
  <si>
    <t xml:space="preserve">0188283</t>
  </si>
  <si>
    <t xml:space="preserve">8713645123103</t>
  </si>
  <si>
    <t xml:space="preserve">Aerfoam geïsoleerd leidingsysteem Bocht 90° EPE 180 grijs</t>
  </si>
  <si>
    <t xml:space="preserve">€ 14,10</t>
  </si>
  <si>
    <t xml:space="preserve">0188285</t>
  </si>
  <si>
    <t xml:space="preserve">8713645123110</t>
  </si>
  <si>
    <t xml:space="preserve">Aerfoam geïsoleerd leidingsysteem Koppelstuk KS 180 grijs</t>
  </si>
  <si>
    <t xml:space="preserve">0188300</t>
  </si>
  <si>
    <t xml:space="preserve">8713645174990</t>
  </si>
  <si>
    <t xml:space="preserve">Air Excellent AE35sc Ventieladapter 90° 125 met 1 afdekkap</t>
  </si>
  <si>
    <t xml:space="preserve">0188302</t>
  </si>
  <si>
    <t xml:space="preserve">8713645175003</t>
  </si>
  <si>
    <t xml:space="preserve">Air Excellent AE35sc Afdichtring</t>
  </si>
  <si>
    <t xml:space="preserve">€ 4,70</t>
  </si>
  <si>
    <t xml:space="preserve">0188303</t>
  </si>
  <si>
    <t xml:space="preserve">8713645175010</t>
  </si>
  <si>
    <t xml:space="preserve">Air Excellent AE35sc Bocht 90° verticaal</t>
  </si>
  <si>
    <t xml:space="preserve">€ 11,40</t>
  </si>
  <si>
    <t xml:space="preserve">0188304</t>
  </si>
  <si>
    <t xml:space="preserve">8713645175027</t>
  </si>
  <si>
    <t xml:space="preserve">Air Excellent AE35sc Bocht 90° horizontaal</t>
  </si>
  <si>
    <t xml:space="preserve">0188305</t>
  </si>
  <si>
    <t xml:space="preserve">8713645175034</t>
  </si>
  <si>
    <t xml:space="preserve">Air Excellent AE35sc Afdekkap</t>
  </si>
  <si>
    <t xml:space="preserve">€ 2,97</t>
  </si>
  <si>
    <t xml:space="preserve">0188306</t>
  </si>
  <si>
    <t xml:space="preserve">8713645175041</t>
  </si>
  <si>
    <t xml:space="preserve">Air Excellent AE35sc Koppelstuk</t>
  </si>
  <si>
    <t xml:space="preserve">€ 9,00</t>
  </si>
  <si>
    <t xml:space="preserve">0188308</t>
  </si>
  <si>
    <t xml:space="preserve">8713645175058</t>
  </si>
  <si>
    <t xml:space="preserve">Air Excellent AE35sc Vloerroosteradapter met 1 afdekkap</t>
  </si>
  <si>
    <t xml:space="preserve">€ 31,85</t>
  </si>
  <si>
    <t xml:space="preserve">0188309</t>
  </si>
  <si>
    <t xml:space="preserve">8713645175065</t>
  </si>
  <si>
    <t xml:space="preserve">Air Excellent Aansluitstuk AE35sc voor metalen luchtverdeelkast</t>
  </si>
  <si>
    <t xml:space="preserve">0188310</t>
  </si>
  <si>
    <t xml:space="preserve">8713645204994</t>
  </si>
  <si>
    <t xml:space="preserve">Air Excellent AE35sc Ventieladapter 180° 125 met 1 afdekkap</t>
  </si>
  <si>
    <t xml:space="preserve">0188316</t>
  </si>
  <si>
    <t xml:space="preserve">8713645175119</t>
  </si>
  <si>
    <t xml:space="preserve">Air Excellent Vloerrooster wit</t>
  </si>
  <si>
    <t xml:space="preserve">€ 70,05</t>
  </si>
  <si>
    <t xml:space="preserve">0188317</t>
  </si>
  <si>
    <t xml:space="preserve">8713645175126</t>
  </si>
  <si>
    <t xml:space="preserve">Air Excellent Vloerrooster RVS</t>
  </si>
  <si>
    <t xml:space="preserve">€ 73,20</t>
  </si>
  <si>
    <t xml:space="preserve">0188321</t>
  </si>
  <si>
    <t xml:space="preserve">8713645179698</t>
  </si>
  <si>
    <t xml:space="preserve">Air Excellent AE35sc Montagebeugel</t>
  </si>
  <si>
    <t xml:space="preserve">0188329</t>
  </si>
  <si>
    <t xml:space="preserve">8713645213774</t>
  </si>
  <si>
    <t xml:space="preserve">Air Excellent AE48c Afdichtring</t>
  </si>
  <si>
    <t xml:space="preserve">€ 1,19</t>
  </si>
  <si>
    <t xml:space="preserve">0188330</t>
  </si>
  <si>
    <t xml:space="preserve">8713645213781</t>
  </si>
  <si>
    <t xml:space="preserve">Air Excellent AE48c Klikring</t>
  </si>
  <si>
    <t xml:space="preserve">0188365</t>
  </si>
  <si>
    <t xml:space="preserve">8713645204536</t>
  </si>
  <si>
    <t xml:space="preserve">Air Excellent AE48c Koppelstuk</t>
  </si>
  <si>
    <t xml:space="preserve">0188370</t>
  </si>
  <si>
    <t xml:space="preserve">4049193013424</t>
  </si>
  <si>
    <t xml:space="preserve">Air Excellent AE35sc Flexibel kanaal rol 20m</t>
  </si>
  <si>
    <t xml:space="preserve">€ 212,20</t>
  </si>
  <si>
    <t xml:space="preserve">0188372</t>
  </si>
  <si>
    <t xml:space="preserve">4049193015350</t>
  </si>
  <si>
    <t xml:space="preserve">Air Excellent AE55sc Flexibel kanaal rol 20m</t>
  </si>
  <si>
    <t xml:space="preserve">€ 254,60</t>
  </si>
  <si>
    <t xml:space="preserve">0188373</t>
  </si>
  <si>
    <t xml:space="preserve">4049193015558</t>
  </si>
  <si>
    <t xml:space="preserve">Air Excellent AE55sc Flexibel kanaal rol 30m</t>
  </si>
  <si>
    <t xml:space="preserve">€ 381,90</t>
  </si>
  <si>
    <t xml:space="preserve">0188380</t>
  </si>
  <si>
    <t xml:space="preserve">8713645204550</t>
  </si>
  <si>
    <t xml:space="preserve">Air Excellent AE48c Ventieladapter 90° 125 met 1 afdekkap</t>
  </si>
  <si>
    <t xml:space="preserve">€ 26,50</t>
  </si>
  <si>
    <t xml:space="preserve">0188381</t>
  </si>
  <si>
    <t xml:space="preserve">8713645204567</t>
  </si>
  <si>
    <t xml:space="preserve">Air Excellent AE48c Afdekkap</t>
  </si>
  <si>
    <t xml:space="preserve">0188383</t>
  </si>
  <si>
    <t xml:space="preserve">8713645204819</t>
  </si>
  <si>
    <t xml:space="preserve">Air Excellent Aansluitstuk AE48c voor metalen luchtverdeelkast</t>
  </si>
  <si>
    <t xml:space="preserve">€ 4,95</t>
  </si>
  <si>
    <t xml:space="preserve">0188389</t>
  </si>
  <si>
    <t xml:space="preserve">8713645205007</t>
  </si>
  <si>
    <t xml:space="preserve">Air Excellent Verloop AE35sc-AE55sc</t>
  </si>
  <si>
    <t xml:space="preserve">€ 7,40</t>
  </si>
  <si>
    <t xml:space="preserve">0188399</t>
  </si>
  <si>
    <t xml:space="preserve">8713645223346</t>
  </si>
  <si>
    <t xml:space="preserve">Air Excellent AE34c Ventieladapter 180° 125 met 1 afdekkap</t>
  </si>
  <si>
    <t xml:space="preserve">€ 25,50</t>
  </si>
  <si>
    <t xml:space="preserve">0188440</t>
  </si>
  <si>
    <t xml:space="preserve">8713645177168</t>
  </si>
  <si>
    <t xml:space="preserve">Luchtdicht Dakdoorvoermanchet Kompakt met riool 0-21°</t>
  </si>
  <si>
    <t xml:space="preserve">0188441</t>
  </si>
  <si>
    <t xml:space="preserve">8713645177175</t>
  </si>
  <si>
    <t xml:space="preserve">Luchtdicht Dakdoorvoermanchet Kompakt zonder riool 0-21°</t>
  </si>
  <si>
    <t xml:space="preserve">0188442</t>
  </si>
  <si>
    <t xml:space="preserve">8713645177182</t>
  </si>
  <si>
    <t xml:space="preserve">Luchtdicht Dakdoorvoermanchet Kompakt met riool 22-30°</t>
  </si>
  <si>
    <t xml:space="preserve">0188443</t>
  </si>
  <si>
    <t xml:space="preserve">8713645177199</t>
  </si>
  <si>
    <t xml:space="preserve">Luchtdicht Dakdoorvoermanchet Kompakt zonder riool 22-30°</t>
  </si>
  <si>
    <t xml:space="preserve">0188444</t>
  </si>
  <si>
    <t xml:space="preserve">8713645177205</t>
  </si>
  <si>
    <t xml:space="preserve">Luchtdicht Dakdoorvoermanchet Kompakt met riool 31-36°</t>
  </si>
  <si>
    <t xml:space="preserve">0188445</t>
  </si>
  <si>
    <t xml:space="preserve">8713645177212</t>
  </si>
  <si>
    <t xml:space="preserve">Luchtdicht Dakdoorvoermanchet Kompakt zonder riool 31-36°</t>
  </si>
  <si>
    <t xml:space="preserve">0188446</t>
  </si>
  <si>
    <t xml:space="preserve">8713645177229</t>
  </si>
  <si>
    <t xml:space="preserve">Luchtdicht Dakdoorvoermanchet Kompakt met riool 37-41°</t>
  </si>
  <si>
    <t xml:space="preserve">0188447</t>
  </si>
  <si>
    <t xml:space="preserve">8713645177236</t>
  </si>
  <si>
    <t xml:space="preserve">Luchtdicht Dakdoorvoermanchet Kompakt zonder riool 37-41°</t>
  </si>
  <si>
    <t xml:space="preserve">0188448</t>
  </si>
  <si>
    <t xml:space="preserve">8713645177243</t>
  </si>
  <si>
    <t xml:space="preserve">Luchtdicht Dakdoorvoermanchet Kompakt met riool 42-45°</t>
  </si>
  <si>
    <t xml:space="preserve">0188449</t>
  </si>
  <si>
    <t xml:space="preserve">8713645177250</t>
  </si>
  <si>
    <t xml:space="preserve">Luchtdicht Dakdoorvoermanchet Kompakt zonder riool 42-45°</t>
  </si>
  <si>
    <t xml:space="preserve">0188450</t>
  </si>
  <si>
    <t xml:space="preserve">8713645177267</t>
  </si>
  <si>
    <t xml:space="preserve">Luchtdicht Doorvoermanchet 150-186 0°</t>
  </si>
  <si>
    <t xml:space="preserve">€ 35,25</t>
  </si>
  <si>
    <t xml:space="preserve">0188451</t>
  </si>
  <si>
    <t xml:space="preserve">8713645177274</t>
  </si>
  <si>
    <t xml:space="preserve">Luchtdicht Doorvoermanchet 180-250 0°</t>
  </si>
  <si>
    <t xml:space="preserve">€ 47,20</t>
  </si>
  <si>
    <t xml:space="preserve">0188452</t>
  </si>
  <si>
    <t xml:space="preserve">8713645177281</t>
  </si>
  <si>
    <t xml:space="preserve">Luchtdicht Dakdoorvoermanchet 180-250 0-55°</t>
  </si>
  <si>
    <t xml:space="preserve">0188470</t>
  </si>
  <si>
    <t xml:space="preserve">8713645201191</t>
  </si>
  <si>
    <t xml:space="preserve">Luchtdicht Dakdoorvoermanchet Kompakt 2.0 met riool</t>
  </si>
  <si>
    <t xml:space="preserve">€ 50,20</t>
  </si>
  <si>
    <t xml:space="preserve">0188471</t>
  </si>
  <si>
    <t xml:space="preserve">8713645201207</t>
  </si>
  <si>
    <t xml:space="preserve">Luchtdicht Dakdoorvoermanchet Kompakt 2.0 zonder riool</t>
  </si>
  <si>
    <t xml:space="preserve">0188473</t>
  </si>
  <si>
    <t xml:space="preserve">8713645212005</t>
  </si>
  <si>
    <t xml:space="preserve">Luchtdicht Dakdoorvoermanchet Kompakt 2.0 MV/WTW</t>
  </si>
  <si>
    <t xml:space="preserve">0188480</t>
  </si>
  <si>
    <t xml:space="preserve">8713645219172</t>
  </si>
  <si>
    <t xml:space="preserve">Luchtdicht Doorvoermanchet 60-80 0°</t>
  </si>
  <si>
    <t xml:space="preserve">€ 12,70</t>
  </si>
  <si>
    <t xml:space="preserve">0188481</t>
  </si>
  <si>
    <t xml:space="preserve">8713645219189</t>
  </si>
  <si>
    <t xml:space="preserve">Luchtdicht Doorvoermanchet 100-131 0°</t>
  </si>
  <si>
    <t xml:space="preserve">0188482</t>
  </si>
  <si>
    <t xml:space="preserve">8713645219196</t>
  </si>
  <si>
    <t xml:space="preserve">Luchtdicht Dakdoorvoermanchet 100-131 0-55°</t>
  </si>
  <si>
    <t xml:space="preserve">€ 15,75</t>
  </si>
  <si>
    <t xml:space="preserve">0188483</t>
  </si>
  <si>
    <t xml:space="preserve">8713645219202</t>
  </si>
  <si>
    <t xml:space="preserve">Luchtdicht Dakdoorvoermanchet 150-186 0-55°</t>
  </si>
  <si>
    <t xml:space="preserve">€ 24,40</t>
  </si>
  <si>
    <t xml:space="preserve">0188485</t>
  </si>
  <si>
    <t xml:space="preserve">8713645228433</t>
  </si>
  <si>
    <t xml:space="preserve">Gevel Manchet KS voor Muurdoorvoer 60/100 zwart</t>
  </si>
  <si>
    <t xml:space="preserve">€ 13,70</t>
  </si>
  <si>
    <t xml:space="preserve">8713645228853</t>
  </si>
  <si>
    <t xml:space="preserve">Luchtdicht Doorvoermanchet Kabel- en leiding 0-55°</t>
  </si>
  <si>
    <t xml:space="preserve">€ 16,05</t>
  </si>
  <si>
    <t xml:space="preserve">0188536</t>
  </si>
  <si>
    <t xml:space="preserve">8713645221168</t>
  </si>
  <si>
    <t xml:space="preserve">Air Excellent Verloop AE45sc-AE48c</t>
  </si>
  <si>
    <t xml:space="preserve">€ 13,55</t>
  </si>
  <si>
    <t xml:space="preserve">0188550</t>
  </si>
  <si>
    <t xml:space="preserve">8713645220321</t>
  </si>
  <si>
    <t xml:space="preserve">Air Excellent AE45sc Afdichtring</t>
  </si>
  <si>
    <t xml:space="preserve">€ 8,10</t>
  </si>
  <si>
    <t xml:space="preserve">0188551</t>
  </si>
  <si>
    <t xml:space="preserve">8713645220598</t>
  </si>
  <si>
    <t xml:space="preserve">Air Excellent AE45sc Koppelstuk</t>
  </si>
  <si>
    <t xml:space="preserve">€ 9,40</t>
  </si>
  <si>
    <t xml:space="preserve">0188553</t>
  </si>
  <si>
    <t xml:space="preserve">8713645213484</t>
  </si>
  <si>
    <t xml:space="preserve">Air Excellent AE48c Adapter voor luchtverdeelkast 200/800 serie</t>
  </si>
  <si>
    <t xml:space="preserve">€ 8,25</t>
  </si>
  <si>
    <t xml:space="preserve">0188554</t>
  </si>
  <si>
    <t xml:space="preserve">8713645213453</t>
  </si>
  <si>
    <t xml:space="preserve">Air Excellent AE35sc Adapter voor luchtverdeelkast 200/800 serie</t>
  </si>
  <si>
    <t xml:space="preserve">€ 8,75</t>
  </si>
  <si>
    <t xml:space="preserve">0188555</t>
  </si>
  <si>
    <t xml:space="preserve">8713645213460</t>
  </si>
  <si>
    <t xml:space="preserve">Air Excellent AE55sc Adapter voor luchtverdeelkast 200/800 serie</t>
  </si>
  <si>
    <t xml:space="preserve">€ 9,25</t>
  </si>
  <si>
    <t xml:space="preserve">0188556</t>
  </si>
  <si>
    <t xml:space="preserve">8713645220727</t>
  </si>
  <si>
    <t xml:space="preserve">Air Excellent AE45sc Adapter voor luchtverdeelkast 200/800 serie</t>
  </si>
  <si>
    <t xml:space="preserve">€ 9,10</t>
  </si>
  <si>
    <t xml:space="preserve">0188557</t>
  </si>
  <si>
    <t xml:space="preserve">8713645220581</t>
  </si>
  <si>
    <t xml:space="preserve">Air Excellent AE45sc Afdekkap</t>
  </si>
  <si>
    <t xml:space="preserve">€ 2,40</t>
  </si>
  <si>
    <t xml:space="preserve">0188558</t>
  </si>
  <si>
    <t xml:space="preserve">8713645220611</t>
  </si>
  <si>
    <t xml:space="preserve">Air Excellent AE45sc Bocht 90° verticaal</t>
  </si>
  <si>
    <t xml:space="preserve">€ 11,60</t>
  </si>
  <si>
    <t xml:space="preserve">0188559</t>
  </si>
  <si>
    <t xml:space="preserve">8713645220604</t>
  </si>
  <si>
    <t xml:space="preserve">Air Excellent AE45sc Bocht 90° horizontaal</t>
  </si>
  <si>
    <t xml:space="preserve">0188560</t>
  </si>
  <si>
    <t xml:space="preserve">8713645220628</t>
  </si>
  <si>
    <t xml:space="preserve">Air Excellent AE45sc Vloerroosteradapter</t>
  </si>
  <si>
    <t xml:space="preserve">0188561</t>
  </si>
  <si>
    <t xml:space="preserve">8713645220314</t>
  </si>
  <si>
    <t xml:space="preserve">Air Excellent AE45sc Ventieladapter 90° 125 met 1 afdekkap</t>
  </si>
  <si>
    <t xml:space="preserve">€ 26,40</t>
  </si>
  <si>
    <t xml:space="preserve">0188563</t>
  </si>
  <si>
    <t xml:space="preserve">8713645213491</t>
  </si>
  <si>
    <t xml:space="preserve">Air Excellent Afdekkap voor luchtverdeelkast 200/800 serie</t>
  </si>
  <si>
    <t xml:space="preserve">€ 2,91</t>
  </si>
  <si>
    <t xml:space="preserve">0188564</t>
  </si>
  <si>
    <t xml:space="preserve">8713645213507</t>
  </si>
  <si>
    <t xml:space="preserve">Air Excellent Restrictiering voor luchtverdeelkast 200/800 serie</t>
  </si>
  <si>
    <t xml:space="preserve">€ 3,40</t>
  </si>
  <si>
    <t xml:space="preserve">0188565</t>
  </si>
  <si>
    <t xml:space="preserve">8713645215402</t>
  </si>
  <si>
    <t xml:space="preserve">Air Excellent Adapter 180-160-150-125 voor luchtverdeelkast 200/800</t>
  </si>
  <si>
    <t xml:space="preserve">€ 17,45</t>
  </si>
  <si>
    <t xml:space="preserve">0188567</t>
  </si>
  <si>
    <t xml:space="preserve">8713645214214</t>
  </si>
  <si>
    <t xml:space="preserve">Air Excellent Montagebeugel Universeel</t>
  </si>
  <si>
    <t xml:space="preserve">0188585</t>
  </si>
  <si>
    <t xml:space="preserve">8713645212166</t>
  </si>
  <si>
    <t xml:space="preserve">Air Excellent Verloop AE55sc-AE48c</t>
  </si>
  <si>
    <t xml:space="preserve">0188586</t>
  </si>
  <si>
    <t xml:space="preserve">8713645213750</t>
  </si>
  <si>
    <t xml:space="preserve">Air Excellent Luchtverdeelkast DB808</t>
  </si>
  <si>
    <t xml:space="preserve">€ 291,75</t>
  </si>
  <si>
    <t xml:space="preserve">0188587</t>
  </si>
  <si>
    <t xml:space="preserve">8713645213767</t>
  </si>
  <si>
    <t xml:space="preserve">Air Excellent Luchtverdeelkast DB816</t>
  </si>
  <si>
    <t xml:space="preserve">€ 305,05</t>
  </si>
  <si>
    <t xml:space="preserve">0188638</t>
  </si>
  <si>
    <t xml:space="preserve">8713645217550</t>
  </si>
  <si>
    <t xml:space="preserve">Air Excellent Adapter 100 voor DB206H125</t>
  </si>
  <si>
    <t xml:space="preserve">0188650</t>
  </si>
  <si>
    <t xml:space="preserve">8713645217154</t>
  </si>
  <si>
    <t xml:space="preserve">Air Excellent Luchtverdeelkast DB206H125</t>
  </si>
  <si>
    <t xml:space="preserve">€ 132,60</t>
  </si>
  <si>
    <t xml:space="preserve">0188651</t>
  </si>
  <si>
    <t xml:space="preserve">8713645217161</t>
  </si>
  <si>
    <t xml:space="preserve">Air Excellent Luchtverdeelkast DB208V180</t>
  </si>
  <si>
    <t xml:space="preserve">0188652</t>
  </si>
  <si>
    <t xml:space="preserve">8713645217178</t>
  </si>
  <si>
    <t xml:space="preserve">Air Excellent Luchtverdeelkast DB208V125</t>
  </si>
  <si>
    <t xml:space="preserve">0188653</t>
  </si>
  <si>
    <t xml:space="preserve">8713645217185</t>
  </si>
  <si>
    <t xml:space="preserve">Air Excellent Luchtverdeelkast DB206V180HE</t>
  </si>
  <si>
    <t xml:space="preserve">0188654</t>
  </si>
  <si>
    <t xml:space="preserve">8713645217192</t>
  </si>
  <si>
    <t xml:space="preserve">Air Excellent Luchtverdeelkast DB208V180VE</t>
  </si>
  <si>
    <t xml:space="preserve">0188655</t>
  </si>
  <si>
    <t xml:space="preserve">8713645224862</t>
  </si>
  <si>
    <t xml:space="preserve">Air Excellent AE35sc Afdekkap voor Flexibel Kanaal</t>
  </si>
  <si>
    <t xml:space="preserve">€ 1,54</t>
  </si>
  <si>
    <t xml:space="preserve">0188656</t>
  </si>
  <si>
    <t xml:space="preserve">8713645228662</t>
  </si>
  <si>
    <t xml:space="preserve">Air Excellent AE45SC Afdekkap voor Flexibel Kanaal</t>
  </si>
  <si>
    <t xml:space="preserve">0188657</t>
  </si>
  <si>
    <t xml:space="preserve">8713645224879</t>
  </si>
  <si>
    <t xml:space="preserve">Air Excellent AE55sc Afdekkap voor Flexibel Kanaal</t>
  </si>
  <si>
    <t xml:space="preserve">0188658</t>
  </si>
  <si>
    <t xml:space="preserve">8713645229898</t>
  </si>
  <si>
    <t xml:space="preserve">Air Excellent AE48c Passeerstuk</t>
  </si>
  <si>
    <t xml:space="preserve">€ 37,50</t>
  </si>
  <si>
    <t xml:space="preserve">0188662</t>
  </si>
  <si>
    <t xml:space="preserve">4049193055738</t>
  </si>
  <si>
    <t xml:space="preserve">Air Excellent AE48c Flexibel kanaal rol 50m</t>
  </si>
  <si>
    <t xml:space="preserve">€ 371,30</t>
  </si>
  <si>
    <t xml:space="preserve">0188663</t>
  </si>
  <si>
    <t xml:space="preserve">8713645221687</t>
  </si>
  <si>
    <t xml:space="preserve">Air Excellent Regelbare klep</t>
  </si>
  <si>
    <t xml:space="preserve">€ 14,50</t>
  </si>
  <si>
    <t xml:space="preserve">0188668</t>
  </si>
  <si>
    <t xml:space="preserve">4049193064785</t>
  </si>
  <si>
    <t xml:space="preserve">Air Excellent AE45sc Flexibel kanaal rol 20m</t>
  </si>
  <si>
    <t xml:space="preserve">€ 230,00</t>
  </si>
  <si>
    <t xml:space="preserve">0188669</t>
  </si>
  <si>
    <t xml:space="preserve">8713645228440</t>
  </si>
  <si>
    <t xml:space="preserve">Air Excellent Luchtverdeelkast instorthulp</t>
  </si>
  <si>
    <t xml:space="preserve">€ 17,90</t>
  </si>
  <si>
    <t xml:space="preserve">0188676</t>
  </si>
  <si>
    <t xml:space="preserve">4049193068981</t>
  </si>
  <si>
    <t xml:space="preserve">Air Excellent AE48c Afdekkap voor Flexibel Kanaal 15 stuks</t>
  </si>
  <si>
    <t xml:space="preserve">0188680</t>
  </si>
  <si>
    <t xml:space="preserve">8713645229997</t>
  </si>
  <si>
    <t xml:space="preserve">Air Excellent Aansluitrubber AE48c Bocht op Luchtverdeelkast</t>
  </si>
  <si>
    <t xml:space="preserve">€ 8,15</t>
  </si>
  <si>
    <t xml:space="preserve">0188800</t>
  </si>
  <si>
    <t xml:space="preserve">8713645121505</t>
  </si>
  <si>
    <t xml:space="preserve">Aerfoam geïsoleerd leidingsysteem Gevelkap metaal 125 zwart</t>
  </si>
  <si>
    <t xml:space="preserve">€ 71,05</t>
  </si>
  <si>
    <t xml:space="preserve">0188810</t>
  </si>
  <si>
    <t xml:space="preserve">8718391111282</t>
  </si>
  <si>
    <t xml:space="preserve">Aerfoam geïsoleerd leidingsysteem Gevelkap metaal 150 zwart</t>
  </si>
  <si>
    <t xml:space="preserve">0188815</t>
  </si>
  <si>
    <t xml:space="preserve">8713645213118</t>
  </si>
  <si>
    <t xml:space="preserve">Aerfoam geïsoleerd leidingsysteem Gevelkap metaal 160 zwart</t>
  </si>
  <si>
    <t xml:space="preserve">0188820</t>
  </si>
  <si>
    <t xml:space="preserve">8713645121567</t>
  </si>
  <si>
    <t xml:space="preserve">Aerfoam geïsoleerd leidingsysteem Gevelkap metaal 180 zwart</t>
  </si>
  <si>
    <t xml:space="preserve">€ 75,30</t>
  </si>
  <si>
    <t xml:space="preserve">0189020</t>
  </si>
  <si>
    <t xml:space="preserve">8713645178516</t>
  </si>
  <si>
    <t xml:space="preserve">MultiVent Zolderventilatie set zwart</t>
  </si>
  <si>
    <t xml:space="preserve">€ 296,45</t>
  </si>
  <si>
    <t xml:space="preserve">0189026</t>
  </si>
  <si>
    <t xml:space="preserve">8713645203355</t>
  </si>
  <si>
    <t xml:space="preserve">MultiVent 5V Dakdoorvoer 125 1190mm zwart</t>
  </si>
  <si>
    <t xml:space="preserve">€ 42,75</t>
  </si>
  <si>
    <t xml:space="preserve">0189062</t>
  </si>
  <si>
    <t xml:space="preserve">8711465024389</t>
  </si>
  <si>
    <t xml:space="preserve">MultiVent Basis Dakdoorvoer 131 900mm zwart</t>
  </si>
  <si>
    <t xml:space="preserve">€ 57,30</t>
  </si>
  <si>
    <t xml:space="preserve">0189282</t>
  </si>
  <si>
    <t xml:space="preserve">8711465024464</t>
  </si>
  <si>
    <t xml:space="preserve">MultiVent Basis Dakdoorvoer 166 1325mm zwart</t>
  </si>
  <si>
    <t xml:space="preserve">€ 82,15</t>
  </si>
  <si>
    <t xml:space="preserve">0189284</t>
  </si>
  <si>
    <t xml:space="preserve">8713645222011</t>
  </si>
  <si>
    <t xml:space="preserve">MultiVent Basis Dakdoorvoer 166 1325mm natuurrood</t>
  </si>
  <si>
    <t xml:space="preserve">0189410</t>
  </si>
  <si>
    <t xml:space="preserve">8713645221960</t>
  </si>
  <si>
    <t xml:space="preserve">MultiVent Basis Dakdoorvoer 131 980mm zwart</t>
  </si>
  <si>
    <t xml:space="preserve">0189411</t>
  </si>
  <si>
    <t xml:space="preserve">8713645221977</t>
  </si>
  <si>
    <t xml:space="preserve">MultiVent Basis Dakdoorvoer 131 980mm terracotta</t>
  </si>
  <si>
    <t xml:space="preserve">0189412</t>
  </si>
  <si>
    <t xml:space="preserve">8713645221984</t>
  </si>
  <si>
    <t xml:space="preserve">MultiVent Basis Dakdoorvoer 131 980mm natuurrood</t>
  </si>
  <si>
    <t xml:space="preserve">0200409</t>
  </si>
  <si>
    <t xml:space="preserve">8713645008271</t>
  </si>
  <si>
    <t xml:space="preserve">Panlat Ventilerend 20mm x 1000mm zwart</t>
  </si>
  <si>
    <t xml:space="preserve">€ 2,26</t>
  </si>
  <si>
    <t xml:space="preserve">0200410</t>
  </si>
  <si>
    <t xml:space="preserve">8713645008288</t>
  </si>
  <si>
    <t xml:space="preserve">Panlat Ventilerend met vogelschroot 75mm x 1000mm zwart</t>
  </si>
  <si>
    <t xml:space="preserve">€ 2,90</t>
  </si>
  <si>
    <t xml:space="preserve">0200900</t>
  </si>
  <si>
    <t xml:space="preserve">8713645012049</t>
  </si>
  <si>
    <t xml:space="preserve">Airtec Combiprofiel 190mm x 1085mm zwart</t>
  </si>
  <si>
    <t xml:space="preserve">€ 6,85</t>
  </si>
  <si>
    <t xml:space="preserve">0200908</t>
  </si>
  <si>
    <t xml:space="preserve">8713645014654</t>
  </si>
  <si>
    <t xml:space="preserve">Airtec Combiprofiel 125mm x 1085mm zwart</t>
  </si>
  <si>
    <t xml:space="preserve">€ 5,95</t>
  </si>
  <si>
    <t xml:space="preserve">0200910</t>
  </si>
  <si>
    <t xml:space="preserve">8713645124216</t>
  </si>
  <si>
    <t xml:space="preserve">Airtec Combiprofiel 125mm x 1085mm terracotta</t>
  </si>
  <si>
    <t xml:space="preserve">0200923</t>
  </si>
  <si>
    <t xml:space="preserve">8713645006130</t>
  </si>
  <si>
    <t xml:space="preserve">Vogelschroot 85mm x 1000mm zwart</t>
  </si>
  <si>
    <t xml:space="preserve">€ 2,84</t>
  </si>
  <si>
    <t xml:space="preserve">0200931</t>
  </si>
  <si>
    <t xml:space="preserve">8713645000596</t>
  </si>
  <si>
    <t xml:space="preserve">Vogelschroot 55mm x 1000mm terracotta</t>
  </si>
  <si>
    <t xml:space="preserve">€ 1,53</t>
  </si>
  <si>
    <t xml:space="preserve">0200934</t>
  </si>
  <si>
    <t xml:space="preserve">8711465050517</t>
  </si>
  <si>
    <t xml:space="preserve">Vogelschroot 55mm x 1000mm zwart</t>
  </si>
  <si>
    <t xml:space="preserve">0200935</t>
  </si>
  <si>
    <t xml:space="preserve">8713645123141</t>
  </si>
  <si>
    <t xml:space="preserve">Vogelschroot met muiswering 55mm x 1000mm zwart</t>
  </si>
  <si>
    <t xml:space="preserve">€ 1,60</t>
  </si>
  <si>
    <t xml:space="preserve">0200937</t>
  </si>
  <si>
    <t xml:space="preserve">8713645223162</t>
  </si>
  <si>
    <t xml:space="preserve">Vogelschroot dubbel 75/65 x 1000mm zwart</t>
  </si>
  <si>
    <t xml:space="preserve">€ 2,81</t>
  </si>
  <si>
    <t xml:space="preserve">0200959</t>
  </si>
  <si>
    <t xml:space="preserve">8713645003535</t>
  </si>
  <si>
    <t xml:space="preserve">Onderpanprofiel 1500mm zwart</t>
  </si>
  <si>
    <t xml:space="preserve">0200960</t>
  </si>
  <si>
    <t xml:space="preserve">8713645004648</t>
  </si>
  <si>
    <t xml:space="preserve">Afdekprofiel UA 1400mm zwart</t>
  </si>
  <si>
    <t xml:space="preserve">€ 6,15</t>
  </si>
  <si>
    <t xml:space="preserve">0200965</t>
  </si>
  <si>
    <t xml:space="preserve">8713645221052</t>
  </si>
  <si>
    <t xml:space="preserve">Afdekprofielklem zwart</t>
  </si>
  <si>
    <t xml:space="preserve">0201075</t>
  </si>
  <si>
    <t xml:space="preserve">8713645056944</t>
  </si>
  <si>
    <t xml:space="preserve">Uitloop 80 grijs met wartel (doos 50 st)</t>
  </si>
  <si>
    <t xml:space="preserve">€ 10,50</t>
  </si>
  <si>
    <t xml:space="preserve">0201090</t>
  </si>
  <si>
    <t xml:space="preserve">8713645056975</t>
  </si>
  <si>
    <t xml:space="preserve">Uitloop 100 grijs met wartel (doos 25 st)</t>
  </si>
  <si>
    <t xml:space="preserve">€ 17,05</t>
  </si>
  <si>
    <t xml:space="preserve">0201826</t>
  </si>
  <si>
    <t xml:space="preserve">8713645132211</t>
  </si>
  <si>
    <t xml:space="preserve">Hemelwaterafvoerslang 80-100 rol 25m donkergroen</t>
  </si>
  <si>
    <t xml:space="preserve">0201850</t>
  </si>
  <si>
    <t xml:space="preserve">8713645194950</t>
  </si>
  <si>
    <t xml:space="preserve">Verholen goot KS 180-100mm 1500mm zwart</t>
  </si>
  <si>
    <t xml:space="preserve">€ 32,50</t>
  </si>
  <si>
    <t xml:space="preserve">0201852</t>
  </si>
  <si>
    <t xml:space="preserve">8713645218311</t>
  </si>
  <si>
    <t xml:space="preserve">Verholen goot KS 140-150mm 1500mm zwart</t>
  </si>
  <si>
    <t xml:space="preserve">€ 34,05</t>
  </si>
  <si>
    <t xml:space="preserve">0201853</t>
  </si>
  <si>
    <t xml:space="preserve">8713645218328</t>
  </si>
  <si>
    <t xml:space="preserve">Verholen goot aansluitelement KS 3000mm zwart</t>
  </si>
  <si>
    <t xml:space="preserve">€ 36,35</t>
  </si>
  <si>
    <t xml:space="preserve">0203744</t>
  </si>
  <si>
    <t xml:space="preserve">8711465132589</t>
  </si>
  <si>
    <t xml:space="preserve">PE Ondervorst 118mm x 900mm zwart</t>
  </si>
  <si>
    <t xml:space="preserve">0203746</t>
  </si>
  <si>
    <t xml:space="preserve">8711465125499</t>
  </si>
  <si>
    <t xml:space="preserve">PE Ondervorst 118mm x 900mm terracotta</t>
  </si>
  <si>
    <t xml:space="preserve">0203752</t>
  </si>
  <si>
    <t xml:space="preserve">8711465132596</t>
  </si>
  <si>
    <t xml:space="preserve">PE Ondervorst 95mm x 900mm zwart</t>
  </si>
  <si>
    <t xml:space="preserve">0203753</t>
  </si>
  <si>
    <t xml:space="preserve">8711465126731</t>
  </si>
  <si>
    <t xml:space="preserve">PE Ondervorst 95mm x 900mm terracotta</t>
  </si>
  <si>
    <t xml:space="preserve">0203786</t>
  </si>
  <si>
    <t xml:space="preserve">8713645123554</t>
  </si>
  <si>
    <t xml:space="preserve">Kilgoot op rol ALU 650mm x 10m zwart</t>
  </si>
  <si>
    <t xml:space="preserve">€ 215,25</t>
  </si>
  <si>
    <t xml:space="preserve">0203788</t>
  </si>
  <si>
    <t xml:space="preserve">8713645123547</t>
  </si>
  <si>
    <t xml:space="preserve">Kilgoot op rol ALU 650mm x 10m terracotta</t>
  </si>
  <si>
    <t xml:space="preserve">0203809</t>
  </si>
  <si>
    <t xml:space="preserve">8713645194912</t>
  </si>
  <si>
    <t xml:space="preserve">Airtec Nok- en hoekkeper ALU 330mm x 5m zwart</t>
  </si>
  <si>
    <t xml:space="preserve">€ 70,75</t>
  </si>
  <si>
    <t xml:space="preserve">0203813</t>
  </si>
  <si>
    <t xml:space="preserve">8713645194875</t>
  </si>
  <si>
    <t xml:space="preserve">Airtec Nok- en hoekkeper ALU 300mm x 5m zwart</t>
  </si>
  <si>
    <t xml:space="preserve">€ 67,60</t>
  </si>
  <si>
    <t xml:space="preserve">0203814</t>
  </si>
  <si>
    <t xml:space="preserve">8713645194882</t>
  </si>
  <si>
    <t xml:space="preserve">Airtec Nok- en hoekkeper ALU 300mm x 5m terracotta</t>
  </si>
  <si>
    <t xml:space="preserve">0203819</t>
  </si>
  <si>
    <t xml:space="preserve">8713645194929</t>
  </si>
  <si>
    <t xml:space="preserve">Airtec Nok- en hoekkeper ALU 330mm x 5m terracotta</t>
  </si>
  <si>
    <t xml:space="preserve">0203835</t>
  </si>
  <si>
    <t xml:space="preserve">8713645125428</t>
  </si>
  <si>
    <t xml:space="preserve">Ruiterdrager verzinkt 30mm 50 stuks</t>
  </si>
  <si>
    <t xml:space="preserve">€ 184,50</t>
  </si>
  <si>
    <t xml:space="preserve">0203836</t>
  </si>
  <si>
    <t xml:space="preserve">8713645004518</t>
  </si>
  <si>
    <t xml:space="preserve">Ruiterdrager verzinkt 40mm 50 stuks</t>
  </si>
  <si>
    <t xml:space="preserve">0203840</t>
  </si>
  <si>
    <t xml:space="preserve">8711465125994</t>
  </si>
  <si>
    <t xml:space="preserve">Klikhaak 435 003 RVS K2 250 stuks</t>
  </si>
  <si>
    <t xml:space="preserve">€ 75,35</t>
  </si>
  <si>
    <t xml:space="preserve">0203849</t>
  </si>
  <si>
    <t xml:space="preserve">4027692496207</t>
  </si>
  <si>
    <t xml:space="preserve">Tikhaak Twintikker 453 203 RVS 200 stuks</t>
  </si>
  <si>
    <t xml:space="preserve">€ 129,15</t>
  </si>
  <si>
    <t xml:space="preserve">0203851</t>
  </si>
  <si>
    <t xml:space="preserve">4027692478005</t>
  </si>
  <si>
    <t xml:space="preserve">Klikhaak 452 005 Universeel RVS 100 stuks</t>
  </si>
  <si>
    <t xml:space="preserve">€ 51,25</t>
  </si>
  <si>
    <t xml:space="preserve">0203853</t>
  </si>
  <si>
    <t xml:space="preserve">4027692488400</t>
  </si>
  <si>
    <t xml:space="preserve">Tikhaak Twintikker 453 201 RVS 200 stuks</t>
  </si>
  <si>
    <t xml:space="preserve">0203861</t>
  </si>
  <si>
    <t xml:space="preserve">8713645221359</t>
  </si>
  <si>
    <t xml:space="preserve">Tikhaak 409 214 RVS 250 stuks</t>
  </si>
  <si>
    <t xml:space="preserve">€ 108,45</t>
  </si>
  <si>
    <t xml:space="preserve">0203864</t>
  </si>
  <si>
    <t xml:space="preserve">8713645010908</t>
  </si>
  <si>
    <t xml:space="preserve">Schroef Pozidrive met neopreen volgring 40mm RVS 250 stuks</t>
  </si>
  <si>
    <t xml:space="preserve">€ 65,20</t>
  </si>
  <si>
    <t xml:space="preserve">0203866</t>
  </si>
  <si>
    <t xml:space="preserve">8713645010939</t>
  </si>
  <si>
    <t xml:space="preserve">Schroef Pozidrive met neopreen volgring 70mm RVS 250 stuks</t>
  </si>
  <si>
    <t xml:space="preserve">€ 70,60</t>
  </si>
  <si>
    <t xml:space="preserve">0203867</t>
  </si>
  <si>
    <t xml:space="preserve">4027692690100</t>
  </si>
  <si>
    <t xml:space="preserve">Tikhaak 409 009 RVS P17 500 stuks</t>
  </si>
  <si>
    <t xml:space="preserve">€ 214,90</t>
  </si>
  <si>
    <t xml:space="preserve">0203868</t>
  </si>
  <si>
    <t xml:space="preserve">4027692690001</t>
  </si>
  <si>
    <t xml:space="preserve">Tikhaak 409 028 hoekig RVS P18 200 stuks</t>
  </si>
  <si>
    <t xml:space="preserve">€ 190,50</t>
  </si>
  <si>
    <t xml:space="preserve">0203870</t>
  </si>
  <si>
    <t xml:space="preserve">4027692506708</t>
  </si>
  <si>
    <t xml:space="preserve">Tikhaak Twintikker 453 205 RVS 200 stuks</t>
  </si>
  <si>
    <t xml:space="preserve">0203871</t>
  </si>
  <si>
    <t xml:space="preserve">4027692542300</t>
  </si>
  <si>
    <t xml:space="preserve">Tikhaak Twintikker 453 206 RVS 200 stuks</t>
  </si>
  <si>
    <t xml:space="preserve">€ 122,65</t>
  </si>
  <si>
    <t xml:space="preserve">0203872</t>
  </si>
  <si>
    <t xml:space="preserve">4027692687308</t>
  </si>
  <si>
    <t xml:space="preserve">Tikhaak Twintikker 453 214 RVS 200 stuks</t>
  </si>
  <si>
    <t xml:space="preserve">€ 144,75</t>
  </si>
  <si>
    <t xml:space="preserve">0203873</t>
  </si>
  <si>
    <t xml:space="preserve">4027692706009</t>
  </si>
  <si>
    <t xml:space="preserve">Tikhaak Twintikker 453 217 RVS 200 stuks</t>
  </si>
  <si>
    <t xml:space="preserve">€ 118,30</t>
  </si>
  <si>
    <t xml:space="preserve">0203874</t>
  </si>
  <si>
    <t xml:space="preserve">4027692732107</t>
  </si>
  <si>
    <t xml:space="preserve">Tikhaak Twintikker 453 218 RVS 200 stuks</t>
  </si>
  <si>
    <t xml:space="preserve">€ 153,60</t>
  </si>
  <si>
    <t xml:space="preserve">0203877</t>
  </si>
  <si>
    <t xml:space="preserve">8713645058030</t>
  </si>
  <si>
    <t xml:space="preserve">Tikhaak 409 001 RVS P1 500 stuks</t>
  </si>
  <si>
    <t xml:space="preserve">€ 181,95</t>
  </si>
  <si>
    <t xml:space="preserve">0203878</t>
  </si>
  <si>
    <t xml:space="preserve">8713645058047</t>
  </si>
  <si>
    <t xml:space="preserve">Tikhaak 409 002 RVS P2 500 stuks</t>
  </si>
  <si>
    <t xml:space="preserve">€ 187,75</t>
  </si>
  <si>
    <t xml:space="preserve">0203879</t>
  </si>
  <si>
    <t xml:space="preserve">8713645058054</t>
  </si>
  <si>
    <t xml:space="preserve">Tikhaak 409 003 RVS P3 500 stuks</t>
  </si>
  <si>
    <t xml:space="preserve">€ 199,85</t>
  </si>
  <si>
    <t xml:space="preserve">0203880</t>
  </si>
  <si>
    <t xml:space="preserve">8713645058061</t>
  </si>
  <si>
    <t xml:space="preserve">Tikhaak 409 010 RVS P4 500 stuks</t>
  </si>
  <si>
    <t xml:space="preserve">€ 193,90</t>
  </si>
  <si>
    <t xml:space="preserve">0203881</t>
  </si>
  <si>
    <t xml:space="preserve">8713645058078</t>
  </si>
  <si>
    <t xml:space="preserve">Tikhaak 409 011 RVS P5 500 stuks</t>
  </si>
  <si>
    <t xml:space="preserve">0203882</t>
  </si>
  <si>
    <t xml:space="preserve">8713645058085</t>
  </si>
  <si>
    <t xml:space="preserve">Tikhaak 409 012 RVS P6 500 stuks</t>
  </si>
  <si>
    <t xml:space="preserve">€ 198,00</t>
  </si>
  <si>
    <t xml:space="preserve">0203883</t>
  </si>
  <si>
    <t xml:space="preserve">8713645221366</t>
  </si>
  <si>
    <t xml:space="preserve">Tikhaak 409 215 RVS 250 stuks</t>
  </si>
  <si>
    <t xml:space="preserve">€ 106,20</t>
  </si>
  <si>
    <t xml:space="preserve">0203885</t>
  </si>
  <si>
    <t xml:space="preserve">8713645221373</t>
  </si>
  <si>
    <t xml:space="preserve">Tikhaak 409 221 RVS 250 stuks</t>
  </si>
  <si>
    <t xml:space="preserve">€ 112,75</t>
  </si>
  <si>
    <t xml:space="preserve">0203888</t>
  </si>
  <si>
    <t xml:space="preserve">4027692698304</t>
  </si>
  <si>
    <t xml:space="preserve">Tikhaak 409 012 RVS P6 100 stuks</t>
  </si>
  <si>
    <t xml:space="preserve">€ 44,40</t>
  </si>
  <si>
    <t xml:space="preserve">0203889</t>
  </si>
  <si>
    <t xml:space="preserve">8713645058153</t>
  </si>
  <si>
    <t xml:space="preserve">Tikhaak 409 005 RVS P14 500 stuks</t>
  </si>
  <si>
    <t xml:space="preserve">€ 216,40</t>
  </si>
  <si>
    <t xml:space="preserve">0203891</t>
  </si>
  <si>
    <t xml:space="preserve">4027692601106</t>
  </si>
  <si>
    <t xml:space="preserve">Hoekkeperklem met schroef RVS 50 stuks</t>
  </si>
  <si>
    <t xml:space="preserve">€ 72,15</t>
  </si>
  <si>
    <t xml:space="preserve">0203892</t>
  </si>
  <si>
    <t xml:space="preserve">8713645221380</t>
  </si>
  <si>
    <t xml:space="preserve">Tikhaak 409 223 RVS 250 stuks</t>
  </si>
  <si>
    <t xml:space="preserve">€ 114,95</t>
  </si>
  <si>
    <t xml:space="preserve">0203893</t>
  </si>
  <si>
    <t xml:space="preserve">8713645058191</t>
  </si>
  <si>
    <t xml:space="preserve">Klikhaak 435 031 RVS K5 250 stuks</t>
  </si>
  <si>
    <t xml:space="preserve">€ 91,65</t>
  </si>
  <si>
    <t xml:space="preserve">0203897</t>
  </si>
  <si>
    <t xml:space="preserve">8713645058238</t>
  </si>
  <si>
    <t xml:space="preserve">Klikhaak 435 058 RVS K9 250 stuks</t>
  </si>
  <si>
    <t xml:space="preserve">€ 88,10</t>
  </si>
  <si>
    <t xml:space="preserve">0203898</t>
  </si>
  <si>
    <t xml:space="preserve">8713645058245</t>
  </si>
  <si>
    <t xml:space="preserve">Klikhaak 435 061 RVS K10 250 stuks</t>
  </si>
  <si>
    <t xml:space="preserve">0203899</t>
  </si>
  <si>
    <t xml:space="preserve">8713645058252</t>
  </si>
  <si>
    <t xml:space="preserve">Klikhaak 435 064 RVS K11 250 stuks</t>
  </si>
  <si>
    <t xml:space="preserve">€ 95,45</t>
  </si>
  <si>
    <t xml:space="preserve">0203901</t>
  </si>
  <si>
    <t xml:space="preserve">8713645058269</t>
  </si>
  <si>
    <t xml:space="preserve">Klikhaak 435 073 RVS K12 250 stuks</t>
  </si>
  <si>
    <t xml:space="preserve">€ 101,00</t>
  </si>
  <si>
    <t xml:space="preserve">0203907</t>
  </si>
  <si>
    <t xml:space="preserve">8713645060941</t>
  </si>
  <si>
    <t xml:space="preserve">Vorsthaak 470 053 ALU rood 50 stuks</t>
  </si>
  <si>
    <t xml:space="preserve">0203912</t>
  </si>
  <si>
    <t xml:space="preserve">8713645060903</t>
  </si>
  <si>
    <t xml:space="preserve">Vorsthaak 470 024 ALU rood 50 stuks</t>
  </si>
  <si>
    <t xml:space="preserve">€ 32,75</t>
  </si>
  <si>
    <t xml:space="preserve">0203918</t>
  </si>
  <si>
    <t xml:space="preserve">8713645065984</t>
  </si>
  <si>
    <t xml:space="preserve">Vorsthaak 470 053 ALU zwart 50 stuks</t>
  </si>
  <si>
    <t xml:space="preserve">0203926</t>
  </si>
  <si>
    <t xml:space="preserve">8713645194905</t>
  </si>
  <si>
    <t xml:space="preserve">Airtec Duo Roll Ondervorst PP/ALU 310mm x 5m terracotta</t>
  </si>
  <si>
    <t xml:space="preserve">€ 59,45</t>
  </si>
  <si>
    <t xml:space="preserve">0203927</t>
  </si>
  <si>
    <t xml:space="preserve">8713645194899</t>
  </si>
  <si>
    <t xml:space="preserve">Airtec Duo Roll Ondervorst PP/ALU 310mm x 5m zwart</t>
  </si>
  <si>
    <t xml:space="preserve">0203929</t>
  </si>
  <si>
    <t xml:space="preserve">8713645061078</t>
  </si>
  <si>
    <t xml:space="preserve">Vorsthaak 470 024 ALU zwart 50 stuks</t>
  </si>
  <si>
    <t xml:space="preserve">€ 31,05</t>
  </si>
  <si>
    <t xml:space="preserve">0203932</t>
  </si>
  <si>
    <t xml:space="preserve">8713645058276</t>
  </si>
  <si>
    <t xml:space="preserve">Klikhaak 435 074 RVS K16 250 stuks</t>
  </si>
  <si>
    <t xml:space="preserve">€ 91,50</t>
  </si>
  <si>
    <t xml:space="preserve">0203933</t>
  </si>
  <si>
    <t xml:space="preserve">8713645058160</t>
  </si>
  <si>
    <t xml:space="preserve">Klikhaak 435 072 RVS K17 250 stuks</t>
  </si>
  <si>
    <t xml:space="preserve">0203935</t>
  </si>
  <si>
    <t xml:space="preserve">4027692569703</t>
  </si>
  <si>
    <t xml:space="preserve">Tikhaak 409 009 RVS P7 500 stuks</t>
  </si>
  <si>
    <t xml:space="preserve">0204131</t>
  </si>
  <si>
    <t xml:space="preserve">8713645229720</t>
  </si>
  <si>
    <t xml:space="preserve">Vorsthaak 470 041 ALU zwart 50 stuks</t>
  </si>
  <si>
    <t xml:space="preserve">€ 37,00</t>
  </si>
  <si>
    <t xml:space="preserve">0204132</t>
  </si>
  <si>
    <t xml:space="preserve">8713645229737</t>
  </si>
  <si>
    <t xml:space="preserve">Vorsthaak 470 041 ALU rood 50 stuks</t>
  </si>
  <si>
    <t xml:space="preserve">0204134</t>
  </si>
  <si>
    <t xml:space="preserve">8713645215129</t>
  </si>
  <si>
    <t xml:space="preserve">Vorsthaak 470 083 ALU zwart 50 stuks</t>
  </si>
  <si>
    <t xml:space="preserve">0204137</t>
  </si>
  <si>
    <t xml:space="preserve">8713645219998</t>
  </si>
  <si>
    <t xml:space="preserve">Tikhaak Twintikker 453 215 RVS 200 stuks</t>
  </si>
  <si>
    <t xml:space="preserve">€ 124,05</t>
  </si>
  <si>
    <t xml:space="preserve">0204152</t>
  </si>
  <si>
    <t xml:space="preserve">8713645218830</t>
  </si>
  <si>
    <t xml:space="preserve">Vorsthaak 470 029 ALU zwart 50 stuks</t>
  </si>
  <si>
    <t xml:space="preserve">€ 86,00</t>
  </si>
  <si>
    <t xml:space="preserve">0204154</t>
  </si>
  <si>
    <t xml:space="preserve">8713645218847</t>
  </si>
  <si>
    <t xml:space="preserve">Vorsthaak 470 030 ALU zwart 50 stuks</t>
  </si>
  <si>
    <t xml:space="preserve">€ 81,80</t>
  </si>
  <si>
    <t xml:space="preserve">0204155</t>
  </si>
  <si>
    <t xml:space="preserve">8713645218854</t>
  </si>
  <si>
    <t xml:space="preserve">Vorsthaak 470 033 ALU zwart 50 stuks</t>
  </si>
  <si>
    <t xml:space="preserve">€ 41,45</t>
  </si>
  <si>
    <t xml:space="preserve">0204159</t>
  </si>
  <si>
    <t xml:space="preserve">8713645218885</t>
  </si>
  <si>
    <t xml:space="preserve">Vorsthaak 470 045 ALU zwart 50 stuks</t>
  </si>
  <si>
    <t xml:space="preserve">€ 21,50</t>
  </si>
  <si>
    <t xml:space="preserve">0204160</t>
  </si>
  <si>
    <t xml:space="preserve">8713645219592</t>
  </si>
  <si>
    <t xml:space="preserve">Vorsthaak 470 045 ALU rood 50 stuks</t>
  </si>
  <si>
    <t xml:space="preserve">0204163</t>
  </si>
  <si>
    <t xml:space="preserve">8713645218915</t>
  </si>
  <si>
    <t xml:space="preserve">Vorsthaak 470 077 ALU zwart 50 stuks</t>
  </si>
  <si>
    <t xml:space="preserve">€ 29,85</t>
  </si>
  <si>
    <t xml:space="preserve">0204164</t>
  </si>
  <si>
    <t xml:space="preserve">8713645218922</t>
  </si>
  <si>
    <t xml:space="preserve">Vorsthaak 470 077 ALU rood 50 stuks</t>
  </si>
  <si>
    <t xml:space="preserve">€ 28,30</t>
  </si>
  <si>
    <t xml:space="preserve">0204166</t>
  </si>
  <si>
    <t xml:space="preserve">8713645218946</t>
  </si>
  <si>
    <t xml:space="preserve">Vorsthaak 470 083 ALU rood 50 stuks</t>
  </si>
  <si>
    <t xml:space="preserve">0204171</t>
  </si>
  <si>
    <t xml:space="preserve">8713645218977</t>
  </si>
  <si>
    <t xml:space="preserve">Vorsthaak 470 117 ALU zwart 50 stuks</t>
  </si>
  <si>
    <t xml:space="preserve">€ 46,95</t>
  </si>
  <si>
    <t xml:space="preserve">0204172</t>
  </si>
  <si>
    <t xml:space="preserve">8713645218984</t>
  </si>
  <si>
    <t xml:space="preserve">Vorsthaak 470 117 ALU rood 50 stuks</t>
  </si>
  <si>
    <t xml:space="preserve">€ 49,15</t>
  </si>
  <si>
    <t xml:space="preserve">0204173</t>
  </si>
  <si>
    <t xml:space="preserve">8713645218991</t>
  </si>
  <si>
    <t xml:space="preserve">Vorsthaak 470 121 ALU zwart 50 stuks</t>
  </si>
  <si>
    <t xml:space="preserve">€ 37,05</t>
  </si>
  <si>
    <t xml:space="preserve">0204175</t>
  </si>
  <si>
    <t xml:space="preserve">8713645219004</t>
  </si>
  <si>
    <t xml:space="preserve">Vorsthaak 470 127 ALU zwart 50 stuks</t>
  </si>
  <si>
    <t xml:space="preserve">€ 31,35</t>
  </si>
  <si>
    <t xml:space="preserve">0204176</t>
  </si>
  <si>
    <t xml:space="preserve">8713645219639</t>
  </si>
  <si>
    <t xml:space="preserve">Vorsthaak 470 127 ALU rood 50 stuks</t>
  </si>
  <si>
    <t xml:space="preserve">0204179</t>
  </si>
  <si>
    <t xml:space="preserve">8713645219028</t>
  </si>
  <si>
    <t xml:space="preserve">Vorsthaak 470 144 ALU zwart 50 stuks</t>
  </si>
  <si>
    <t xml:space="preserve">0204180</t>
  </si>
  <si>
    <t xml:space="preserve">8713645219653</t>
  </si>
  <si>
    <t xml:space="preserve">Vorsthaak 470 144 ALU rood 50 stuks</t>
  </si>
  <si>
    <t xml:space="preserve">€ 39,25</t>
  </si>
  <si>
    <t xml:space="preserve">0204181</t>
  </si>
  <si>
    <t xml:space="preserve">8713645219035</t>
  </si>
  <si>
    <t xml:space="preserve">Vorsthaak 470 147 ALU zwart 50 stuks</t>
  </si>
  <si>
    <t xml:space="preserve">0204183</t>
  </si>
  <si>
    <t xml:space="preserve">8713645219042</t>
  </si>
  <si>
    <t xml:space="preserve">Vorsthaak 470 151 ALU zwart 50 stuks</t>
  </si>
  <si>
    <t xml:space="preserve">0204184</t>
  </si>
  <si>
    <t xml:space="preserve">8713645219677</t>
  </si>
  <si>
    <t xml:space="preserve">Vorsthaak 470 151 ALU rood 50 stuks</t>
  </si>
  <si>
    <t xml:space="preserve">0204185</t>
  </si>
  <si>
    <t xml:space="preserve">8713645219059</t>
  </si>
  <si>
    <t xml:space="preserve">Vorsthaak 470 154 ALU zwart 50 stuks</t>
  </si>
  <si>
    <t xml:space="preserve">0204187</t>
  </si>
  <si>
    <t xml:space="preserve">8713645219066</t>
  </si>
  <si>
    <t xml:space="preserve">Vorsthaak 470 163 ALU zwart 50 stuks</t>
  </si>
  <si>
    <t xml:space="preserve">0204189</t>
  </si>
  <si>
    <t xml:space="preserve">8713645219073</t>
  </si>
  <si>
    <t xml:space="preserve">Vorsthaak 470 165 ALU zwart 50 stuks</t>
  </si>
  <si>
    <t xml:space="preserve">€ 37,10</t>
  </si>
  <si>
    <t xml:space="preserve">0204190</t>
  </si>
  <si>
    <t xml:space="preserve">8713645219707</t>
  </si>
  <si>
    <t xml:space="preserve">Vorsthaak 470 165 ALU rood 50 stuks</t>
  </si>
  <si>
    <t xml:space="preserve">0204191</t>
  </si>
  <si>
    <t xml:space="preserve">8713645219080</t>
  </si>
  <si>
    <t xml:space="preserve">Vorsthaak 470 166 ALU zwart 50 stuks</t>
  </si>
  <si>
    <t xml:space="preserve">0204192</t>
  </si>
  <si>
    <t xml:space="preserve">8713645219714</t>
  </si>
  <si>
    <t xml:space="preserve">Vorsthaak 470 166 ALU rood 50 stuks</t>
  </si>
  <si>
    <t xml:space="preserve">0204194</t>
  </si>
  <si>
    <t xml:space="preserve">8713645219721</t>
  </si>
  <si>
    <t xml:space="preserve">Vorsthaak 470 172 ALU rood 50 stuks</t>
  </si>
  <si>
    <t xml:space="preserve">0204195</t>
  </si>
  <si>
    <t xml:space="preserve">8713645219103</t>
  </si>
  <si>
    <t xml:space="preserve">Vorsthaak 470 177 ALU zwart 50 stuks</t>
  </si>
  <si>
    <t xml:space="preserve">0204197</t>
  </si>
  <si>
    <t xml:space="preserve">8713645219110</t>
  </si>
  <si>
    <t xml:space="preserve">Vorsthaak 470 178 ALU zwart 50 stuks</t>
  </si>
  <si>
    <t xml:space="preserve">0204201</t>
  </si>
  <si>
    <t xml:space="preserve">8713645219134</t>
  </si>
  <si>
    <t xml:space="preserve">Vorsthaak 470 218 ALU zwart 50 stuks</t>
  </si>
  <si>
    <t xml:space="preserve">€ 42,80</t>
  </si>
  <si>
    <t xml:space="preserve">0204206</t>
  </si>
  <si>
    <t xml:space="preserve">8713645219783</t>
  </si>
  <si>
    <t xml:space="preserve">Vorsthaak 470 230 ALU rood 50 stuks</t>
  </si>
  <si>
    <t xml:space="preserve">0204207</t>
  </si>
  <si>
    <t xml:space="preserve">8713645219165</t>
  </si>
  <si>
    <t xml:space="preserve">Vorsthaak 470 256 ALU zwart 50 stuks</t>
  </si>
  <si>
    <t xml:space="preserve">0204208</t>
  </si>
  <si>
    <t xml:space="preserve">8713645220451</t>
  </si>
  <si>
    <t xml:space="preserve">Vorsthaak 470 256 ALU rood 50 stuks</t>
  </si>
  <si>
    <t xml:space="preserve">0204209</t>
  </si>
  <si>
    <t xml:space="preserve">8713645221557</t>
  </si>
  <si>
    <t xml:space="preserve">Vorsthaak 470 258 ALU zwart 50 stuks</t>
  </si>
  <si>
    <t xml:space="preserve">0204289</t>
  </si>
  <si>
    <t xml:space="preserve">8713645222974</t>
  </si>
  <si>
    <t xml:space="preserve">Klikhaak 400 003 RVS 100 stuks</t>
  </si>
  <si>
    <t xml:space="preserve">€ 45,05</t>
  </si>
  <si>
    <t xml:space="preserve">0204290</t>
  </si>
  <si>
    <t xml:space="preserve">8713645222981</t>
  </si>
  <si>
    <t xml:space="preserve">Klikhaak 402 001 RVS 500 stuks</t>
  </si>
  <si>
    <t xml:space="preserve">€ 16,20</t>
  </si>
  <si>
    <t xml:space="preserve">0204301</t>
  </si>
  <si>
    <t xml:space="preserve">8713645221267</t>
  </si>
  <si>
    <t xml:space="preserve">Tikhaak 409 218 RVS 250 stuks</t>
  </si>
  <si>
    <t xml:space="preserve">€ 110,25</t>
  </si>
  <si>
    <t xml:space="preserve">0204302</t>
  </si>
  <si>
    <t xml:space="preserve">8713645223803</t>
  </si>
  <si>
    <t xml:space="preserve">Tikhaak 409 208 RVS 250 stuks</t>
  </si>
  <si>
    <t xml:space="preserve">€ 104,10</t>
  </si>
  <si>
    <t xml:space="preserve">0204303</t>
  </si>
  <si>
    <t xml:space="preserve">8713645222790</t>
  </si>
  <si>
    <t xml:space="preserve">Tikhaak 409 205 RVS 250 stuks</t>
  </si>
  <si>
    <t xml:space="preserve">€ 106,85</t>
  </si>
  <si>
    <t xml:space="preserve">0204304</t>
  </si>
  <si>
    <t xml:space="preserve">8713645222806</t>
  </si>
  <si>
    <t xml:space="preserve">Tikhaak 409 207 RVS 250 stuks</t>
  </si>
  <si>
    <t xml:space="preserve">€ 102,10</t>
  </si>
  <si>
    <t xml:space="preserve">0204305</t>
  </si>
  <si>
    <t xml:space="preserve">8713645222813</t>
  </si>
  <si>
    <t xml:space="preserve">Tikhaak 409 210 RVS 250 stuks</t>
  </si>
  <si>
    <t xml:space="preserve">€ 106,50</t>
  </si>
  <si>
    <t xml:space="preserve">0204306</t>
  </si>
  <si>
    <t xml:space="preserve">8713645222820</t>
  </si>
  <si>
    <t xml:space="preserve">Tikhaak 409 212 RVS 250 stuks</t>
  </si>
  <si>
    <t xml:space="preserve">0204307</t>
  </si>
  <si>
    <t xml:space="preserve">8713645223810</t>
  </si>
  <si>
    <t xml:space="preserve">Tikhaak 409 213 RVS 250 stuks</t>
  </si>
  <si>
    <t xml:space="preserve">0204308</t>
  </si>
  <si>
    <t xml:space="preserve">8713645222844</t>
  </si>
  <si>
    <t xml:space="preserve">Tikhaak 409 219 RVS 250 stuks</t>
  </si>
  <si>
    <t xml:space="preserve">0204309</t>
  </si>
  <si>
    <t xml:space="preserve">8713645222851</t>
  </si>
  <si>
    <t xml:space="preserve">Tikhaak 409 220 RVS 250 stuks</t>
  </si>
  <si>
    <t xml:space="preserve">0204311</t>
  </si>
  <si>
    <t xml:space="preserve">8713645222875</t>
  </si>
  <si>
    <t xml:space="preserve">Tikhaak 409 224 RVS 250 stuks</t>
  </si>
  <si>
    <t xml:space="preserve">€ 118,90</t>
  </si>
  <si>
    <t xml:space="preserve">0204312</t>
  </si>
  <si>
    <t xml:space="preserve">8713645222882</t>
  </si>
  <si>
    <t xml:space="preserve">Tikhaak 409 225 RVS 250 stuks</t>
  </si>
  <si>
    <t xml:space="preserve">€ 123,30</t>
  </si>
  <si>
    <t xml:space="preserve">0204313</t>
  </si>
  <si>
    <t xml:space="preserve">8713645222899</t>
  </si>
  <si>
    <t xml:space="preserve">Tikhaak 409 226 RVS 250 stuks</t>
  </si>
  <si>
    <t xml:space="preserve">€ 120,40</t>
  </si>
  <si>
    <t xml:space="preserve">0204314</t>
  </si>
  <si>
    <t xml:space="preserve">8713645222905</t>
  </si>
  <si>
    <t xml:space="preserve">Tikhaak 409 230 RVS 250 stuks</t>
  </si>
  <si>
    <t xml:space="preserve">€ 108,05</t>
  </si>
  <si>
    <t xml:space="preserve">0204315</t>
  </si>
  <si>
    <t xml:space="preserve">8713645222912</t>
  </si>
  <si>
    <t xml:space="preserve">Tikhaak 409 234 RVS 250 stuks</t>
  </si>
  <si>
    <t xml:space="preserve">€ 98,60</t>
  </si>
  <si>
    <t xml:space="preserve">0204316</t>
  </si>
  <si>
    <t xml:space="preserve">8713645222929</t>
  </si>
  <si>
    <t xml:space="preserve">Tikhaak 409 201 H RVS 250 stuks</t>
  </si>
  <si>
    <t xml:space="preserve">€ 102,55</t>
  </si>
  <si>
    <t xml:space="preserve">0204317</t>
  </si>
  <si>
    <t xml:space="preserve">8713645222936</t>
  </si>
  <si>
    <t xml:space="preserve">Tikhaak 409 216 H RVS 250 stuks</t>
  </si>
  <si>
    <t xml:space="preserve">€ 110,45</t>
  </si>
  <si>
    <t xml:space="preserve">0204318</t>
  </si>
  <si>
    <t xml:space="preserve">8713645222943</t>
  </si>
  <si>
    <t xml:space="preserve">Tikhaak 409 222 H RVS 250 stuks</t>
  </si>
  <si>
    <t xml:space="preserve">€ 115,05</t>
  </si>
  <si>
    <t xml:space="preserve">0204319</t>
  </si>
  <si>
    <t xml:space="preserve">8713645222950</t>
  </si>
  <si>
    <t xml:space="preserve">Tikhaak 409 232 H RVS 250 stuks</t>
  </si>
  <si>
    <t xml:space="preserve">€ 98,50</t>
  </si>
  <si>
    <t xml:space="preserve">0204320</t>
  </si>
  <si>
    <t xml:space="preserve">8713645222967</t>
  </si>
  <si>
    <t xml:space="preserve">Tikhaak 409 233 H RVS 250 stuks</t>
  </si>
  <si>
    <t xml:space="preserve">€ 109,65</t>
  </si>
  <si>
    <t xml:space="preserve">0204321</t>
  </si>
  <si>
    <t xml:space="preserve">8713645222998</t>
  </si>
  <si>
    <t xml:space="preserve">Tikhaak 453 207 RVS 200 stuks</t>
  </si>
  <si>
    <t xml:space="preserve">€ 117,65</t>
  </si>
  <si>
    <t xml:space="preserve">0204322</t>
  </si>
  <si>
    <t xml:space="preserve">8713645223001</t>
  </si>
  <si>
    <t xml:space="preserve">Tikhaak 453 208 RVS 200 stuks</t>
  </si>
  <si>
    <t xml:space="preserve">€ 125,80</t>
  </si>
  <si>
    <t xml:space="preserve">0204323</t>
  </si>
  <si>
    <t xml:space="preserve">8713645223018</t>
  </si>
  <si>
    <t xml:space="preserve">Tikhaak 453 209 RVS 200 stuks</t>
  </si>
  <si>
    <t xml:space="preserve">€ 128,10</t>
  </si>
  <si>
    <t xml:space="preserve">0204324</t>
  </si>
  <si>
    <t xml:space="preserve">8713645223025</t>
  </si>
  <si>
    <t xml:space="preserve">Tikhaak 453 211 RVS 200 stuks</t>
  </si>
  <si>
    <t xml:space="preserve">0204325</t>
  </si>
  <si>
    <t xml:space="preserve">8713645223032</t>
  </si>
  <si>
    <t xml:space="preserve">Tikhaak 409 237 RVS 250 stuks</t>
  </si>
  <si>
    <t xml:space="preserve">€ 99,55</t>
  </si>
  <si>
    <t xml:space="preserve">0220405</t>
  </si>
  <si>
    <t xml:space="preserve">8713645061900</t>
  </si>
  <si>
    <t xml:space="preserve">Afzuigventiel MV Inregelbaar KS 100-125 wit</t>
  </si>
  <si>
    <t xml:space="preserve">€ 9,05</t>
  </si>
  <si>
    <t xml:space="preserve">0221212</t>
  </si>
  <si>
    <t xml:space="preserve">8711465030779</t>
  </si>
  <si>
    <t xml:space="preserve">Wormslangklem RVS 165-60</t>
  </si>
  <si>
    <t xml:space="preserve">€ 2,93</t>
  </si>
  <si>
    <t xml:space="preserve">0221858</t>
  </si>
  <si>
    <t xml:space="preserve">8711465030687</t>
  </si>
  <si>
    <t xml:space="preserve">Buis Flexibel ALU 127 10m voor uitwendige maat 125</t>
  </si>
  <si>
    <t xml:space="preserve">€ 59,65</t>
  </si>
  <si>
    <t xml:space="preserve">0222055</t>
  </si>
  <si>
    <t xml:space="preserve">8713645179568</t>
  </si>
  <si>
    <t xml:space="preserve">Sifonset Condensopvang</t>
  </si>
  <si>
    <t xml:space="preserve">€ 30,70</t>
  </si>
  <si>
    <t xml:space="preserve">0222700</t>
  </si>
  <si>
    <t xml:space="preserve">8713645104560</t>
  </si>
  <si>
    <t xml:space="preserve">Bocht 45° PP 60 transparant</t>
  </si>
  <si>
    <t xml:space="preserve">0222701</t>
  </si>
  <si>
    <t xml:space="preserve">8713645104577</t>
  </si>
  <si>
    <t xml:space="preserve">Bocht 87° PP 60 transparant</t>
  </si>
  <si>
    <t xml:space="preserve">0222702</t>
  </si>
  <si>
    <t xml:space="preserve">8713645104584</t>
  </si>
  <si>
    <t xml:space="preserve">Verlengbuis PP 60 250mm transparant</t>
  </si>
  <si>
    <t xml:space="preserve">€ 6,80</t>
  </si>
  <si>
    <t xml:space="preserve">0222703</t>
  </si>
  <si>
    <t xml:space="preserve">8713645104591</t>
  </si>
  <si>
    <t xml:space="preserve">Verlengbuis PP 60 500mm transparant</t>
  </si>
  <si>
    <t xml:space="preserve">0222704</t>
  </si>
  <si>
    <t xml:space="preserve">8713645104607</t>
  </si>
  <si>
    <t xml:space="preserve">Verlengbuis PP 60 1000mm transparant</t>
  </si>
  <si>
    <t xml:space="preserve">€ 12,35</t>
  </si>
  <si>
    <t xml:space="preserve">0222705</t>
  </si>
  <si>
    <t xml:space="preserve">8713645104614</t>
  </si>
  <si>
    <t xml:space="preserve">Verlengbuis PP 60 2000mm transparant</t>
  </si>
  <si>
    <t xml:space="preserve">€ 18,60</t>
  </si>
  <si>
    <t xml:space="preserve">0222898</t>
  </si>
  <si>
    <t xml:space="preserve">8711465083218</t>
  </si>
  <si>
    <t xml:space="preserve">Verlengbuis Luchttoevoer PP 80 250mm zwart</t>
  </si>
  <si>
    <t xml:space="preserve">€ 5,80</t>
  </si>
  <si>
    <t xml:space="preserve">0222908</t>
  </si>
  <si>
    <t xml:space="preserve">8711465083263</t>
  </si>
  <si>
    <t xml:space="preserve">Verlengbuis Luchttoevoer PP 80 500mm zwart</t>
  </si>
  <si>
    <t xml:space="preserve">€ 7,60</t>
  </si>
  <si>
    <t xml:space="preserve">0222915</t>
  </si>
  <si>
    <t xml:space="preserve">8711465083225</t>
  </si>
  <si>
    <t xml:space="preserve">Verlengbuis Luchttoevoer PP 80 1000mm zwart</t>
  </si>
  <si>
    <t xml:space="preserve">0222932</t>
  </si>
  <si>
    <t xml:space="preserve">8711465083249</t>
  </si>
  <si>
    <t xml:space="preserve">Verlengbuis Luchttoevoer PP 80 2000mm zwart</t>
  </si>
  <si>
    <t xml:space="preserve">€ 18,50</t>
  </si>
  <si>
    <t xml:space="preserve">0223000</t>
  </si>
  <si>
    <t xml:space="preserve">8713645004617</t>
  </si>
  <si>
    <t xml:space="preserve">Verlengbuis Luchttoevoer PE 100 250mm zwart</t>
  </si>
  <si>
    <t xml:space="preserve">€ 8,40</t>
  </si>
  <si>
    <t xml:space="preserve">0223002</t>
  </si>
  <si>
    <t xml:space="preserve">8713645004624</t>
  </si>
  <si>
    <t xml:space="preserve">Verlengbuis Luchttoevoer PE 100 500mm zwart</t>
  </si>
  <si>
    <t xml:space="preserve">€ 11,30</t>
  </si>
  <si>
    <t xml:space="preserve">0223004</t>
  </si>
  <si>
    <t xml:space="preserve">8713645004631</t>
  </si>
  <si>
    <t xml:space="preserve">Verlengbuis Luchttoevoer PE 100 1000mm zwart</t>
  </si>
  <si>
    <t xml:space="preserve">0223008</t>
  </si>
  <si>
    <t xml:space="preserve">8713645004594</t>
  </si>
  <si>
    <t xml:space="preserve">Verlengbuis Luchttoevoer PE 100 2000mm zwart</t>
  </si>
  <si>
    <t xml:space="preserve">€ 29,40</t>
  </si>
  <si>
    <t xml:space="preserve">0223012</t>
  </si>
  <si>
    <t xml:space="preserve">8713645010328</t>
  </si>
  <si>
    <t xml:space="preserve">Bocht 45° Luchttoevoer PE 100 zwart</t>
  </si>
  <si>
    <t xml:space="preserve">0223014</t>
  </si>
  <si>
    <t xml:space="preserve">8713645010335</t>
  </si>
  <si>
    <t xml:space="preserve">Bocht 87° Luchttoevoer PE 100 zwart</t>
  </si>
  <si>
    <t xml:space="preserve">€ 7,35</t>
  </si>
  <si>
    <t xml:space="preserve">0223074</t>
  </si>
  <si>
    <t xml:space="preserve">8713645196619</t>
  </si>
  <si>
    <t xml:space="preserve">Verlengbuis Luchttoevoer PP 80 3000mm zwart</t>
  </si>
  <si>
    <t xml:space="preserve">€ 28,15</t>
  </si>
  <si>
    <t xml:space="preserve">0223100</t>
  </si>
  <si>
    <t xml:space="preserve">8711465081795</t>
  </si>
  <si>
    <t xml:space="preserve">Muurdoorvoer Luchttoevoer KS 80 600mm zwart</t>
  </si>
  <si>
    <t xml:space="preserve">€ 50,35</t>
  </si>
  <si>
    <t xml:space="preserve">0223124</t>
  </si>
  <si>
    <t xml:space="preserve">8713645210926</t>
  </si>
  <si>
    <t xml:space="preserve">Rolux 5H Muurdoorvoer HR Conc PP/KS 80/125 800mm zwart</t>
  </si>
  <si>
    <t xml:space="preserve">€ 91,30</t>
  </si>
  <si>
    <t xml:space="preserve">0224048</t>
  </si>
  <si>
    <t xml:space="preserve">8713645106687</t>
  </si>
  <si>
    <t xml:space="preserve">Verloop PP 60-80 spie-mof transparant</t>
  </si>
  <si>
    <t xml:space="preserve">€ 11,65</t>
  </si>
  <si>
    <t xml:space="preserve">0224079</t>
  </si>
  <si>
    <t xml:space="preserve">8713645028613</t>
  </si>
  <si>
    <t xml:space="preserve">Verlengbuis Push-Fit Conc PP/KS 80/125 500mm wit</t>
  </si>
  <si>
    <t xml:space="preserve">€ 42,65</t>
  </si>
  <si>
    <t xml:space="preserve">0227305</t>
  </si>
  <si>
    <t xml:space="preserve">8713645103587</t>
  </si>
  <si>
    <t xml:space="preserve">Verlengbuis telescopisch Conc PP/KS 60/100 40-258mm wit</t>
  </si>
  <si>
    <t xml:space="preserve">€ 31,30</t>
  </si>
  <si>
    <t xml:space="preserve">0227400</t>
  </si>
  <si>
    <t xml:space="preserve">8713645103778</t>
  </si>
  <si>
    <t xml:space="preserve">UbiFit Verloop Conc PP/KS spie-mof 60/100-80/125 wit</t>
  </si>
  <si>
    <t xml:space="preserve">€ 38,15</t>
  </si>
  <si>
    <t xml:space="preserve">0229005</t>
  </si>
  <si>
    <t xml:space="preserve">8713645216553</t>
  </si>
  <si>
    <t xml:space="preserve">Rolux 5H Muurdoorvoer HR Par 80-80 PP/KS 60/100 885mm zwart</t>
  </si>
  <si>
    <t xml:space="preserve">€ 87,05</t>
  </si>
  <si>
    <t xml:space="preserve">0229010</t>
  </si>
  <si>
    <t xml:space="preserve">8713645214047</t>
  </si>
  <si>
    <t xml:space="preserve">Rolux 5H Muurdoorvoer HR Conc PP/KS 60/100 852mm zwart met bocht 87°</t>
  </si>
  <si>
    <t xml:space="preserve">€ 84,50</t>
  </si>
  <si>
    <t xml:space="preserve">0229025</t>
  </si>
  <si>
    <t xml:space="preserve">8713645221175</t>
  </si>
  <si>
    <t xml:space="preserve">Gevelverlengset Verticaal HR PP 60 zwart</t>
  </si>
  <si>
    <t xml:space="preserve">€ 41,55</t>
  </si>
  <si>
    <t xml:space="preserve">0229051</t>
  </si>
  <si>
    <t xml:space="preserve">8713645216560</t>
  </si>
  <si>
    <t xml:space="preserve">Rolux 5H MDV HR Conc telescopisch PP/Metaal 60/100 zwart met bocht 87°</t>
  </si>
  <si>
    <t xml:space="preserve">€ 91,45</t>
  </si>
  <si>
    <t xml:space="preserve">0229150</t>
  </si>
  <si>
    <t xml:space="preserve">4049193006358</t>
  </si>
  <si>
    <t xml:space="preserve">UbiFit Bocht 45° Push-Fit Conc PP/metaal 100/150 wit</t>
  </si>
  <si>
    <t xml:space="preserve">€ 82,95</t>
  </si>
  <si>
    <t xml:space="preserve">0229151</t>
  </si>
  <si>
    <t xml:space="preserve">4049193006365</t>
  </si>
  <si>
    <t xml:space="preserve">UbiFit Bocht 87° Push-Fit Conc PP/metaal 100/150 wit</t>
  </si>
  <si>
    <t xml:space="preserve">€ 87,10</t>
  </si>
  <si>
    <t xml:space="preserve">0229155</t>
  </si>
  <si>
    <t xml:space="preserve">4049193015862</t>
  </si>
  <si>
    <t xml:space="preserve">UbiFit Verlengbuis Push-Fit Conc PP/metaal 500mm 100/150 wit</t>
  </si>
  <si>
    <t xml:space="preserve">€ 51,70</t>
  </si>
  <si>
    <t xml:space="preserve">0229156</t>
  </si>
  <si>
    <t xml:space="preserve">4049193015879</t>
  </si>
  <si>
    <t xml:space="preserve">UbiFit Verlengbuis Push-Fit Conc PP/metaal 1000mm 100/150 wit</t>
  </si>
  <si>
    <t xml:space="preserve">€ 66,60</t>
  </si>
  <si>
    <t xml:space="preserve">0229200</t>
  </si>
  <si>
    <t xml:space="preserve">8713645219295</t>
  </si>
  <si>
    <t xml:space="preserve">UbiFit Bocht 45° Klemband Conc PP/KS 60/100 wit</t>
  </si>
  <si>
    <t xml:space="preserve">€ 18,80</t>
  </si>
  <si>
    <t xml:space="preserve">0229201</t>
  </si>
  <si>
    <t xml:space="preserve">8713645221854</t>
  </si>
  <si>
    <t xml:space="preserve">UbiFit Bocht 15° Klemband Conc PP/KS 60/100 wit</t>
  </si>
  <si>
    <t xml:space="preserve">€ 35,30</t>
  </si>
  <si>
    <t xml:space="preserve">0229202</t>
  </si>
  <si>
    <t xml:space="preserve">8713645221861</t>
  </si>
  <si>
    <t xml:space="preserve">UbiFit Bocht 30° Klemband Conc PP/KS 60/100 wit</t>
  </si>
  <si>
    <t xml:space="preserve">0229204</t>
  </si>
  <si>
    <t xml:space="preserve">8713645214009</t>
  </si>
  <si>
    <t xml:space="preserve">UbiFit Bocht 45° Push-Fit Conc PP/KS 60/100 wit</t>
  </si>
  <si>
    <t xml:space="preserve">€ 16,45</t>
  </si>
  <si>
    <t xml:space="preserve">0229206</t>
  </si>
  <si>
    <t xml:space="preserve">8713645221878</t>
  </si>
  <si>
    <t xml:space="preserve">UbiFit Bocht 15° Push-Fit Conc PP/KS 60/100 wit</t>
  </si>
  <si>
    <t xml:space="preserve">€ 32,35</t>
  </si>
  <si>
    <t xml:space="preserve">0229207</t>
  </si>
  <si>
    <t xml:space="preserve">8713645221885</t>
  </si>
  <si>
    <t xml:space="preserve">UbiFit Bocht 30° Push-Fit Conc PP/KS 60/100 wit</t>
  </si>
  <si>
    <t xml:space="preserve">0229232</t>
  </si>
  <si>
    <t xml:space="preserve">8713645219301</t>
  </si>
  <si>
    <t xml:space="preserve">UbiFit Bocht 87° Klemband Conc PP/KS 60/100 wit</t>
  </si>
  <si>
    <t xml:space="preserve">€ 19,30</t>
  </si>
  <si>
    <t xml:space="preserve">0229239</t>
  </si>
  <si>
    <t xml:space="preserve">8713645213996</t>
  </si>
  <si>
    <t xml:space="preserve">UbiFit Bocht 87° Push-Fit Conc PP/KS 60/100 wit</t>
  </si>
  <si>
    <t xml:space="preserve">€ 16,75</t>
  </si>
  <si>
    <t xml:space="preserve">0229250</t>
  </si>
  <si>
    <t xml:space="preserve">8713645216522</t>
  </si>
  <si>
    <t xml:space="preserve">UbiFit Bocht 87° Verloop Conc PP/KS mof-spie 60/100-80/125 wit</t>
  </si>
  <si>
    <t xml:space="preserve">€ 27,30</t>
  </si>
  <si>
    <t xml:space="preserve">0229301</t>
  </si>
  <si>
    <t xml:space="preserve">8713645219257</t>
  </si>
  <si>
    <t xml:space="preserve">UbiFit Verlengbuis Klemband Conc PP/KS 60/100 250mm wit</t>
  </si>
  <si>
    <t xml:space="preserve">0229302</t>
  </si>
  <si>
    <t xml:space="preserve">8713645219264</t>
  </si>
  <si>
    <t xml:space="preserve">UbiFit Verlengbuis Klemband Conc PP/KS 60/100 500mm wit</t>
  </si>
  <si>
    <t xml:space="preserve">€ 20,25</t>
  </si>
  <si>
    <t xml:space="preserve">0229303</t>
  </si>
  <si>
    <t xml:space="preserve">8713645219271</t>
  </si>
  <si>
    <t xml:space="preserve">UbiFit Verlengbuis Klemband Conc PP/KS 60/100 1000mm wit</t>
  </si>
  <si>
    <t xml:space="preserve">0229304</t>
  </si>
  <si>
    <t xml:space="preserve">8713645219288</t>
  </si>
  <si>
    <t xml:space="preserve">UbiFit Verlengbuis Klemband Conc PP/KS 60/100 2000mm wit</t>
  </si>
  <si>
    <t xml:space="preserve">€ 56,65</t>
  </si>
  <si>
    <t xml:space="preserve">0229311</t>
  </si>
  <si>
    <t xml:space="preserve">8713645213958</t>
  </si>
  <si>
    <t xml:space="preserve">UbiFit Verlengbuis Push-Fit Conc PP/KS 60/100 250mm wit</t>
  </si>
  <si>
    <t xml:space="preserve">€ 13,30</t>
  </si>
  <si>
    <t xml:space="preserve">0229312</t>
  </si>
  <si>
    <t xml:space="preserve">8713645213965</t>
  </si>
  <si>
    <t xml:space="preserve">UbiFit Verlengbuis Push-Fit Conc PP/KS 60/100 500mm wit</t>
  </si>
  <si>
    <t xml:space="preserve">€ 18,15</t>
  </si>
  <si>
    <t xml:space="preserve">0229313</t>
  </si>
  <si>
    <t xml:space="preserve">8713645213972</t>
  </si>
  <si>
    <t xml:space="preserve">UbiFit Verlengbuis Push-Fit Conc PP/KS 60/100 1000mm wit</t>
  </si>
  <si>
    <t xml:space="preserve">€ 25,05</t>
  </si>
  <si>
    <t xml:space="preserve">0229314</t>
  </si>
  <si>
    <t xml:space="preserve">8713645213989</t>
  </si>
  <si>
    <t xml:space="preserve">UbiFit Verlengbuis Push-Fit Conc PP/KS 60/100 2000mm wit</t>
  </si>
  <si>
    <t xml:space="preserve">€ 50,00</t>
  </si>
  <si>
    <t xml:space="preserve">0229500</t>
  </si>
  <si>
    <t xml:space="preserve">8713645222219</t>
  </si>
  <si>
    <t xml:space="preserve">UbiFit Bocht 45° Klemband Conc PP/KS 80/125 wit</t>
  </si>
  <si>
    <t xml:space="preserve">€ 24,20</t>
  </si>
  <si>
    <t xml:space="preserve">0229520</t>
  </si>
  <si>
    <t xml:space="preserve">8713645222226</t>
  </si>
  <si>
    <t xml:space="preserve">UbiFit Bocht 87° Klemband Conc PP/KS 80/125 wit</t>
  </si>
  <si>
    <t xml:space="preserve">0229530</t>
  </si>
  <si>
    <t xml:space="preserve">8713645222233</t>
  </si>
  <si>
    <t xml:space="preserve">UbiFit Verlengbuis Klemband Conc PP/KS 80/125 250mm wit</t>
  </si>
  <si>
    <t xml:space="preserve">0229531</t>
  </si>
  <si>
    <t xml:space="preserve">8713645222240</t>
  </si>
  <si>
    <t xml:space="preserve">UbiFit Verlengbuis Klemband Conc PP/KS 80/125 500mm wit</t>
  </si>
  <si>
    <t xml:space="preserve">€ 26,55</t>
  </si>
  <si>
    <t xml:space="preserve">0229532</t>
  </si>
  <si>
    <t xml:space="preserve">8713645222257</t>
  </si>
  <si>
    <t xml:space="preserve">UbiFit Verlengbuis Klemband Conc PP/KS 80/125 1000mm wit</t>
  </si>
  <si>
    <t xml:space="preserve">€ 36,70</t>
  </si>
  <si>
    <t xml:space="preserve">0229533</t>
  </si>
  <si>
    <t xml:space="preserve">8713645222264</t>
  </si>
  <si>
    <t xml:space="preserve">UbiFit Verlengbuis Klemband Conc PP/KS 80/125 2000mm wit</t>
  </si>
  <si>
    <t xml:space="preserve">€ 64,25</t>
  </si>
  <si>
    <t xml:space="preserve">0242129</t>
  </si>
  <si>
    <t xml:space="preserve">8711465030700</t>
  </si>
  <si>
    <t xml:space="preserve">Buis Flexibel ALU 102 10m voor uitwendige maat 100</t>
  </si>
  <si>
    <t xml:space="preserve">€ 47,70</t>
  </si>
  <si>
    <t xml:space="preserve">0242136</t>
  </si>
  <si>
    <t xml:space="preserve">8711465030717</t>
  </si>
  <si>
    <t xml:space="preserve">Buis Flexibel ALU 112 10m voor uitwendige maat 110</t>
  </si>
  <si>
    <t xml:space="preserve">€ 52,50</t>
  </si>
  <si>
    <t xml:space="preserve">0242141</t>
  </si>
  <si>
    <t xml:space="preserve">8713645013855</t>
  </si>
  <si>
    <t xml:space="preserve">Flexub Dakdoorvoermanchet 110-200 grijs</t>
  </si>
  <si>
    <t xml:space="preserve">€ 75,70</t>
  </si>
  <si>
    <t xml:space="preserve">0242143</t>
  </si>
  <si>
    <t xml:space="preserve">8711465030724</t>
  </si>
  <si>
    <t xml:space="preserve">Buis Flexibel ALU 133 10m voor uitwendige maat 130</t>
  </si>
  <si>
    <t xml:space="preserve">0242144</t>
  </si>
  <si>
    <t xml:space="preserve">8713645123592</t>
  </si>
  <si>
    <t xml:space="preserve">Flexub Dakdoorvoermanchet 110-200 zwart</t>
  </si>
  <si>
    <t xml:space="preserve">0242150</t>
  </si>
  <si>
    <t xml:space="preserve">8711465030731</t>
  </si>
  <si>
    <t xml:space="preserve">Buis Flexibel ALU 152 10m voor uitwendige maat 150</t>
  </si>
  <si>
    <t xml:space="preserve">€ 68,75</t>
  </si>
  <si>
    <t xml:space="preserve">0242200</t>
  </si>
  <si>
    <t xml:space="preserve">8713645011165</t>
  </si>
  <si>
    <t xml:space="preserve">Aansluitstuk Flexibel KS 131-125 650mm voor ventilatiedakdoorvoer wit</t>
  </si>
  <si>
    <t xml:space="preserve">€ 11,05</t>
  </si>
  <si>
    <t xml:space="preserve">0242202</t>
  </si>
  <si>
    <t xml:space="preserve">8713645011172</t>
  </si>
  <si>
    <t xml:space="preserve">Aansluitstuk Flexibel KS 131-100 650mm voor ventilatiedakdoorvoer wit</t>
  </si>
  <si>
    <t xml:space="preserve">0242208</t>
  </si>
  <si>
    <t xml:space="preserve">8713645061863</t>
  </si>
  <si>
    <t xml:space="preserve">Aansluitstuk Flexibel KS 110-100 750mm voor rioolontspanning zwart</t>
  </si>
  <si>
    <t xml:space="preserve">0250300</t>
  </si>
  <si>
    <t xml:space="preserve">8713645123158</t>
  </si>
  <si>
    <t xml:space="preserve">MultiVent Hybride ventilator 131</t>
  </si>
  <si>
    <t xml:space="preserve">€ 133,05</t>
  </si>
  <si>
    <t xml:space="preserve">0282183</t>
  </si>
  <si>
    <t xml:space="preserve">8713645165608</t>
  </si>
  <si>
    <t xml:space="preserve">Muurplaat Schachtaansluiting metaal wit voor 60/100</t>
  </si>
  <si>
    <t xml:space="preserve">€ 32,85</t>
  </si>
  <si>
    <t xml:space="preserve">0291017</t>
  </si>
  <si>
    <t xml:space="preserve">8713645195926</t>
  </si>
  <si>
    <t xml:space="preserve">VloerVent Nieuwbouw Voorzetrooster RVS WF</t>
  </si>
  <si>
    <t xml:space="preserve">€ 5,60</t>
  </si>
  <si>
    <t xml:space="preserve">0291019</t>
  </si>
  <si>
    <t xml:space="preserve">8713645014531</t>
  </si>
  <si>
    <t xml:space="preserve">VloerVent Nieuwbouw Muurrooster KS WF grijs</t>
  </si>
  <si>
    <t xml:space="preserve">€ 2,39</t>
  </si>
  <si>
    <t xml:space="preserve">0291020</t>
  </si>
  <si>
    <t xml:space="preserve">8713645014494</t>
  </si>
  <si>
    <t xml:space="preserve">VloerVent Nieuwbouw Muurrooster KS WF zwart</t>
  </si>
  <si>
    <t xml:space="preserve">0291021</t>
  </si>
  <si>
    <t xml:space="preserve">8713645014500</t>
  </si>
  <si>
    <t xml:space="preserve">VloerVent Nieuwbouw Muurrooster KS WF rood</t>
  </si>
  <si>
    <t xml:space="preserve">0291112</t>
  </si>
  <si>
    <t xml:space="preserve">8713645014517</t>
  </si>
  <si>
    <t xml:space="preserve">VloerVent Nieuwbouw WF rood</t>
  </si>
  <si>
    <t xml:space="preserve">€ 11,00</t>
  </si>
  <si>
    <t xml:space="preserve">0291122</t>
  </si>
  <si>
    <t xml:space="preserve">8713645014302</t>
  </si>
  <si>
    <t xml:space="preserve">VloerVent Nieuwbouw WF zwart</t>
  </si>
  <si>
    <t xml:space="preserve">0291135</t>
  </si>
  <si>
    <t xml:space="preserve">8713645218212</t>
  </si>
  <si>
    <t xml:space="preserve">VloerVent Nieuwbouw Set KS WF zwart</t>
  </si>
  <si>
    <t xml:space="preserve">€ 14,60</t>
  </si>
  <si>
    <t xml:space="preserve">0291142</t>
  </si>
  <si>
    <t xml:space="preserve">8713645014524</t>
  </si>
  <si>
    <t xml:space="preserve">VloerVent Nieuwbouw WF grijs</t>
  </si>
  <si>
    <t xml:space="preserve">0291160</t>
  </si>
  <si>
    <t xml:space="preserve">8713645039916</t>
  </si>
  <si>
    <t xml:space="preserve">VloerVent Nieuwbouw BF/MF grijs</t>
  </si>
  <si>
    <t xml:space="preserve">€ 14,05</t>
  </si>
  <si>
    <t xml:space="preserve">0291170</t>
  </si>
  <si>
    <t xml:space="preserve">8711465051507</t>
  </si>
  <si>
    <t xml:space="preserve">Stootvoegventilatierooster KS BF/MF grijs</t>
  </si>
  <si>
    <t xml:space="preserve">€ 1,55</t>
  </si>
  <si>
    <t xml:space="preserve">0291171</t>
  </si>
  <si>
    <t xml:space="preserve">8713645204390</t>
  </si>
  <si>
    <t xml:space="preserve">Stootvoegventilatierooster KS WF grijs</t>
  </si>
  <si>
    <t xml:space="preserve">€ 1,02</t>
  </si>
  <si>
    <t xml:space="preserve">0291172</t>
  </si>
  <si>
    <t xml:space="preserve">8713645204406</t>
  </si>
  <si>
    <t xml:space="preserve">Stootvoegventilatierooster KS WF zwart</t>
  </si>
  <si>
    <t xml:space="preserve">0291173</t>
  </si>
  <si>
    <t xml:space="preserve">8713645204413</t>
  </si>
  <si>
    <t xml:space="preserve">Stootvoegventilatierooster KS WF wit</t>
  </si>
  <si>
    <t xml:space="preserve">0291175</t>
  </si>
  <si>
    <t xml:space="preserve">8713645123967</t>
  </si>
  <si>
    <t xml:space="preserve">Stootvoegventilatierooster KS DF grijs</t>
  </si>
  <si>
    <t xml:space="preserve">€ 1,10</t>
  </si>
  <si>
    <t xml:space="preserve">0291211</t>
  </si>
  <si>
    <t xml:space="preserve">8711465052030</t>
  </si>
  <si>
    <t xml:space="preserve">VloerVent Nieuwbouw Verlengstuk horizontaal 200mm zwart</t>
  </si>
  <si>
    <t xml:space="preserve">€ 4,75</t>
  </si>
  <si>
    <t xml:space="preserve">0291212</t>
  </si>
  <si>
    <t xml:space="preserve">8713645114408</t>
  </si>
  <si>
    <t xml:space="preserve">VloerVent Nieuwbouw Verlengstuk verticaal 150mm zwart</t>
  </si>
  <si>
    <t xml:space="preserve">€ 5,85</t>
  </si>
  <si>
    <t xml:space="preserve">0291229</t>
  </si>
  <si>
    <t xml:space="preserve">8713645213408</t>
  </si>
  <si>
    <t xml:space="preserve">VloerVent Renovatiekoker zwart</t>
  </si>
  <si>
    <t xml:space="preserve">€ 10,55</t>
  </si>
  <si>
    <t xml:space="preserve">0291242</t>
  </si>
  <si>
    <t xml:space="preserve">8711465052047</t>
  </si>
  <si>
    <t xml:space="preserve">VloerVent Renovatiekoker Muurrooster KS zwart</t>
  </si>
  <si>
    <t xml:space="preserve">€ 5,25</t>
  </si>
  <si>
    <t xml:space="preserve">0331700</t>
  </si>
  <si>
    <t xml:space="preserve">8711465003674</t>
  </si>
  <si>
    <t xml:space="preserve">Purilan Dakraam Sneldek 6-pans SND 32 ISO zwart</t>
  </si>
  <si>
    <t xml:space="preserve">€ 308,15</t>
  </si>
  <si>
    <t xml:space="preserve">0331794</t>
  </si>
  <si>
    <t xml:space="preserve">8713645171357</t>
  </si>
  <si>
    <t xml:space="preserve">Purilan Dakraam Universeel Ubiflex UB 32 ISO zwart</t>
  </si>
  <si>
    <t xml:space="preserve">€ 312,30</t>
  </si>
  <si>
    <t xml:space="preserve">0331804</t>
  </si>
  <si>
    <t xml:space="preserve">8713645171364</t>
  </si>
  <si>
    <t xml:space="preserve">Purilan Dakraam Universeel Ubiflex UB 31 ISO zwart</t>
  </si>
  <si>
    <t xml:space="preserve">€ 247,80</t>
  </si>
  <si>
    <t xml:space="preserve">0331810</t>
  </si>
  <si>
    <t xml:space="preserve">8711465003513</t>
  </si>
  <si>
    <t xml:space="preserve">Purilan Dakraam Sneldek 4-pans SND 31 ISO zwart</t>
  </si>
  <si>
    <t xml:space="preserve">€ 224,20</t>
  </si>
  <si>
    <t xml:space="preserve">0331827</t>
  </si>
  <si>
    <t xml:space="preserve">8711465003735</t>
  </si>
  <si>
    <t xml:space="preserve">Purilan Dakraam Neroma 4-pans NER 31 ISO zwart</t>
  </si>
  <si>
    <t xml:space="preserve">€ 237,85</t>
  </si>
  <si>
    <t xml:space="preserve">0331834</t>
  </si>
  <si>
    <t xml:space="preserve">8711465003742</t>
  </si>
  <si>
    <t xml:space="preserve">Purilan Dakraam Finkenberger 4-pans FR 31 ISO zwart</t>
  </si>
  <si>
    <t xml:space="preserve">0331841</t>
  </si>
  <si>
    <t xml:space="preserve">8711465003759</t>
  </si>
  <si>
    <t xml:space="preserve">Purilan Dakraam Leien L 31 ISO zwart</t>
  </si>
  <si>
    <t xml:space="preserve">€ 274,50</t>
  </si>
  <si>
    <t xml:space="preserve">0331858</t>
  </si>
  <si>
    <t xml:space="preserve">8711465003766</t>
  </si>
  <si>
    <t xml:space="preserve">Purilan Dakraam Verbeterde Holle 9-pans VH 31 ISO zwart</t>
  </si>
  <si>
    <t xml:space="preserve">€ 261,45</t>
  </si>
  <si>
    <t xml:space="preserve">0331865</t>
  </si>
  <si>
    <t xml:space="preserve">8711465003773</t>
  </si>
  <si>
    <t xml:space="preserve">Purilan Dakraam Opnieuw Verbeterde Holle 9-pans OVH 31 ISO zwart</t>
  </si>
  <si>
    <t xml:space="preserve">0336327</t>
  </si>
  <si>
    <t xml:space="preserve">8711465004763</t>
  </si>
  <si>
    <t xml:space="preserve">Purilan Bovenlicht 31 ISO Dubbel glas</t>
  </si>
  <si>
    <t xml:space="preserve">€ 148,60</t>
  </si>
  <si>
    <t xml:space="preserve">0336334</t>
  </si>
  <si>
    <t xml:space="preserve">8711465004770</t>
  </si>
  <si>
    <t xml:space="preserve">Purilan Bovenlicht 32 ISO Dubbel glas</t>
  </si>
  <si>
    <t xml:space="preserve">€ 179,35</t>
  </si>
  <si>
    <t xml:space="preserve">0336578</t>
  </si>
  <si>
    <t xml:space="preserve">8711465004909</t>
  </si>
  <si>
    <t xml:space="preserve">Purilan Afwerkrand pangebonden dakraam 31 zwart</t>
  </si>
  <si>
    <t xml:space="preserve">€ 40,70</t>
  </si>
  <si>
    <t xml:space="preserve">0336657</t>
  </si>
  <si>
    <t xml:space="preserve">8711465004954</t>
  </si>
  <si>
    <t xml:space="preserve">Purilan Bovenlicht wisselset</t>
  </si>
  <si>
    <t xml:space="preserve">0336695</t>
  </si>
  <si>
    <t xml:space="preserve">8711465004916</t>
  </si>
  <si>
    <t xml:space="preserve">Purilan Afwerkrand pangebonden dakraam 32 zwart</t>
  </si>
  <si>
    <t xml:space="preserve">€ 57,45</t>
  </si>
  <si>
    <t xml:space="preserve">0336901</t>
  </si>
  <si>
    <t xml:space="preserve">8711465004503</t>
  </si>
  <si>
    <t xml:space="preserve">Purilan Afwerkrand universeel dakraam 31 wit</t>
  </si>
  <si>
    <t xml:space="preserve">€ 81,30</t>
  </si>
  <si>
    <t xml:space="preserve">0336905</t>
  </si>
  <si>
    <t xml:space="preserve">8713645212142</t>
  </si>
  <si>
    <t xml:space="preserve">Purilan Plus Afwerkrand kant-en-klaar 200mm wit</t>
  </si>
  <si>
    <t xml:space="preserve">€ 69,90</t>
  </si>
  <si>
    <t xml:space="preserve">0336925</t>
  </si>
  <si>
    <t xml:space="preserve">8711465004527</t>
  </si>
  <si>
    <t xml:space="preserve">Purilan Afwerkrand pangebonden dakraam 31 wit</t>
  </si>
  <si>
    <t xml:space="preserve">€ 70,65</t>
  </si>
  <si>
    <t xml:space="preserve">0336940</t>
  </si>
  <si>
    <t xml:space="preserve">8713645012117</t>
  </si>
  <si>
    <t xml:space="preserve">Purilan Euro Afwerkrand kant-en-klaar 200mm wit</t>
  </si>
  <si>
    <t xml:space="preserve">0340101</t>
  </si>
  <si>
    <t xml:space="preserve">8713645059501</t>
  </si>
  <si>
    <t xml:space="preserve">Purilan Euro Handgreep</t>
  </si>
  <si>
    <t xml:space="preserve">€ 19,45</t>
  </si>
  <si>
    <t xml:space="preserve">8713645103259</t>
  </si>
  <si>
    <t xml:space="preserve">Solar Schuimstrook Driehoekprofiel</t>
  </si>
  <si>
    <t xml:space="preserve">€ 6,95</t>
  </si>
  <si>
    <t xml:space="preserve">0350100</t>
  </si>
  <si>
    <t xml:space="preserve">8713645012704</t>
  </si>
  <si>
    <t xml:space="preserve">Purilan Euro Dakraam excl. indekdeel HR++ rood</t>
  </si>
  <si>
    <t xml:space="preserve">€ 209,65</t>
  </si>
  <si>
    <t xml:space="preserve">0350101</t>
  </si>
  <si>
    <t xml:space="preserve">8713645012711</t>
  </si>
  <si>
    <t xml:space="preserve">Purilan Euro Dakraam excl. indekdeel HR++ grijs</t>
  </si>
  <si>
    <t xml:space="preserve">0350116</t>
  </si>
  <si>
    <t xml:space="preserve">8713645174556</t>
  </si>
  <si>
    <t xml:space="preserve">Purilan Euro Dakraam Universeel Ubiflex HR++ rood</t>
  </si>
  <si>
    <t xml:space="preserve">0350117</t>
  </si>
  <si>
    <t xml:space="preserve">8713645174563</t>
  </si>
  <si>
    <t xml:space="preserve">Purilan Euro Dakraam Universeel Ubiflex HR++ grijs</t>
  </si>
  <si>
    <t xml:space="preserve">0350121</t>
  </si>
  <si>
    <t xml:space="preserve">8713645202907</t>
  </si>
  <si>
    <t xml:space="preserve">Purilan Plus Dakraam Universeel Ubiflex HR++ grijs</t>
  </si>
  <si>
    <t xml:space="preserve">€ 250,75</t>
  </si>
  <si>
    <t xml:space="preserve">0350200</t>
  </si>
  <si>
    <t xml:space="preserve">8713645012827</t>
  </si>
  <si>
    <t xml:space="preserve">Purilan Euro Indekdeel Sneldek rood</t>
  </si>
  <si>
    <t xml:space="preserve">€ 25,35</t>
  </si>
  <si>
    <t xml:space="preserve">0350206</t>
  </si>
  <si>
    <t xml:space="preserve">8713645012889</t>
  </si>
  <si>
    <t xml:space="preserve">Purilan Euro Indekdeel Sneldek grijs</t>
  </si>
  <si>
    <t xml:space="preserve">€ 21,40</t>
  </si>
  <si>
    <t xml:space="preserve">0350207</t>
  </si>
  <si>
    <t xml:space="preserve">8713645012896</t>
  </si>
  <si>
    <t xml:space="preserve">Purilan Euro Indekdeel Neroma grijs</t>
  </si>
  <si>
    <t xml:space="preserve">0350209</t>
  </si>
  <si>
    <t xml:space="preserve">8713645012919</t>
  </si>
  <si>
    <t xml:space="preserve">Purilan Euro Indekdeel Verbeterde Holle grijs</t>
  </si>
  <si>
    <t xml:space="preserve">0350210</t>
  </si>
  <si>
    <t xml:space="preserve">8713645012926</t>
  </si>
  <si>
    <t xml:space="preserve">Purilan Euro Indekdeel Opnieuw Verbeterde Holle grijs</t>
  </si>
  <si>
    <t xml:space="preserve">€ 22,45</t>
  </si>
  <si>
    <t xml:space="preserve">0350300</t>
  </si>
  <si>
    <t xml:space="preserve">8713645013909</t>
  </si>
  <si>
    <t xml:space="preserve">Purilan Euro/Plus Afwerkrand Plano 200mm wit</t>
  </si>
  <si>
    <t xml:space="preserve">€ 53,10</t>
  </si>
  <si>
    <t xml:space="preserve">0350301</t>
  </si>
  <si>
    <t xml:space="preserve">8713645013954</t>
  </si>
  <si>
    <t xml:space="preserve">Purilan Euro/Plus Afwerkrand Plano 300mm wit</t>
  </si>
  <si>
    <t xml:space="preserve">€ 57,15</t>
  </si>
  <si>
    <t xml:space="preserve">0350302</t>
  </si>
  <si>
    <t xml:space="preserve">8713645014005</t>
  </si>
  <si>
    <t xml:space="preserve">Purilan Euro/Plus Afwerkrand Plano 400mm wit</t>
  </si>
  <si>
    <t xml:space="preserve">€ 63,00</t>
  </si>
  <si>
    <t xml:space="preserve">0350510</t>
  </si>
  <si>
    <t xml:space="preserve">8713645046655</t>
  </si>
  <si>
    <t xml:space="preserve">Purilan Euro Bovenlicht HR++ grijs</t>
  </si>
  <si>
    <t xml:space="preserve">€ 141,10</t>
  </si>
  <si>
    <t xml:space="preserve">0350511</t>
  </si>
  <si>
    <t xml:space="preserve">8713645046662</t>
  </si>
  <si>
    <t xml:space="preserve">Purilan Euro Bovenlicht HR++ rood</t>
  </si>
  <si>
    <t xml:space="preserve">0350517</t>
  </si>
  <si>
    <t xml:space="preserve">8713645229713</t>
  </si>
  <si>
    <t xml:space="preserve">Purilan Plus Bovenlicht HR++ grijs</t>
  </si>
  <si>
    <t xml:space="preserve">0500177</t>
  </si>
  <si>
    <t xml:space="preserve">8711465007900</t>
  </si>
  <si>
    <t xml:space="preserve">Schanier links zelfremmend voor Tuimeldakraam</t>
  </si>
  <si>
    <t xml:space="preserve">€ 35,20</t>
  </si>
  <si>
    <t xml:space="preserve">0500184</t>
  </si>
  <si>
    <t xml:space="preserve">8711465007894</t>
  </si>
  <si>
    <t xml:space="preserve">Schanier rechts zelfremmend voor Tuimeldakraam</t>
  </si>
  <si>
    <t xml:space="preserve">0530226</t>
  </si>
  <si>
    <t xml:space="preserve">8713645014456</t>
  </si>
  <si>
    <t xml:space="preserve">Verloop KS 110-80-65-53-47-38-32</t>
  </si>
  <si>
    <t xml:space="preserve">€ 10,20</t>
  </si>
  <si>
    <t xml:space="preserve">0532100</t>
  </si>
  <si>
    <t xml:space="preserve">8713645014401</t>
  </si>
  <si>
    <t xml:space="preserve">Plakplaat ALU vlak-hellend</t>
  </si>
  <si>
    <t xml:space="preserve">€ 20,65</t>
  </si>
  <si>
    <t xml:space="preserve">0534000</t>
  </si>
  <si>
    <t xml:space="preserve">8713645106595</t>
  </si>
  <si>
    <t xml:space="preserve">Ubiflex Standaard Loodvervanger 150mm x 12m zwart</t>
  </si>
  <si>
    <t xml:space="preserve">€ 103,95</t>
  </si>
  <si>
    <t xml:space="preserve">0534003</t>
  </si>
  <si>
    <t xml:space="preserve">8713645121703</t>
  </si>
  <si>
    <t xml:space="preserve">Ubiflex Standaard Loodvervanger 100mm x 12m zwart</t>
  </si>
  <si>
    <t xml:space="preserve">€ 69,25</t>
  </si>
  <si>
    <t xml:space="preserve">0534004</t>
  </si>
  <si>
    <t xml:space="preserve">8713645121741</t>
  </si>
  <si>
    <t xml:space="preserve">Ubiflex Standaard Loodvervanger 100mm x 12m grijs</t>
  </si>
  <si>
    <t xml:space="preserve">0534005</t>
  </si>
  <si>
    <t xml:space="preserve">8713645121758</t>
  </si>
  <si>
    <t xml:space="preserve">Ubiflex Standaard Loodvervanger 100mm x 12m natuurrood</t>
  </si>
  <si>
    <t xml:space="preserve">0534010</t>
  </si>
  <si>
    <t xml:space="preserve">8713645106601</t>
  </si>
  <si>
    <t xml:space="preserve">Ubiflex Standaard Loodvervanger 200mm x 12m zwart</t>
  </si>
  <si>
    <t xml:space="preserve">€ 138,60</t>
  </si>
  <si>
    <t xml:space="preserve">0534011</t>
  </si>
  <si>
    <t xml:space="preserve">8713645118185</t>
  </si>
  <si>
    <t xml:space="preserve">Ubiflex Standaard Loodvervanger 200mm x 12m grijs</t>
  </si>
  <si>
    <t xml:space="preserve">0534012</t>
  </si>
  <si>
    <t xml:space="preserve">8713645120645</t>
  </si>
  <si>
    <t xml:space="preserve">Ubiflex Standaard Loodvervanger 200mm x 12m natuurrood</t>
  </si>
  <si>
    <t xml:space="preserve">0534015</t>
  </si>
  <si>
    <t xml:space="preserve">8713645122755</t>
  </si>
  <si>
    <t xml:space="preserve">Ubiflex Standaard Loodvervanger 200mm x 6m zwart</t>
  </si>
  <si>
    <t xml:space="preserve">0534020</t>
  </si>
  <si>
    <t xml:space="preserve">8713645106618</t>
  </si>
  <si>
    <t xml:space="preserve">Ubiflex Standaard Loodvervanger 250mm x 12m zwart</t>
  </si>
  <si>
    <t xml:space="preserve">€ 173,20</t>
  </si>
  <si>
    <t xml:space="preserve">0534021</t>
  </si>
  <si>
    <t xml:space="preserve">8713645118192</t>
  </si>
  <si>
    <t xml:space="preserve">Ubiflex Standaard Loodvervanger 250mm x 12m grijs</t>
  </si>
  <si>
    <t xml:space="preserve">0534022</t>
  </si>
  <si>
    <t xml:space="preserve">8713645120683</t>
  </si>
  <si>
    <t xml:space="preserve">Ubiflex Standaard Loodvervanger 250mm x 12m natuurrood</t>
  </si>
  <si>
    <t xml:space="preserve">0534025</t>
  </si>
  <si>
    <t xml:space="preserve">8713645124247</t>
  </si>
  <si>
    <t xml:space="preserve">Ubiflex Standaard Loodvervanger 300mm x 6m zwart</t>
  </si>
  <si>
    <t xml:space="preserve">0534030</t>
  </si>
  <si>
    <t xml:space="preserve">8713645106625</t>
  </si>
  <si>
    <t xml:space="preserve">Ubiflex Standaard Loodvervanger 300mm x 12m zwart</t>
  </si>
  <si>
    <t xml:space="preserve">€ 207,80</t>
  </si>
  <si>
    <t xml:space="preserve">8713645121710</t>
  </si>
  <si>
    <t xml:space="preserve">Ubiflex Standaard Loodvervanger 400mm x 6m zwart</t>
  </si>
  <si>
    <t xml:space="preserve">8713645106632</t>
  </si>
  <si>
    <t xml:space="preserve">Ubiflex Standaard Loodvervanger 400mm x 12m zwart</t>
  </si>
  <si>
    <t xml:space="preserve">€ 277,00</t>
  </si>
  <si>
    <t xml:space="preserve">0534042</t>
  </si>
  <si>
    <t xml:space="preserve">8713645118208</t>
  </si>
  <si>
    <t xml:space="preserve">Ubiflex Standaard Loodvervanger 400mm x 12m grijs</t>
  </si>
  <si>
    <t xml:space="preserve">0534043</t>
  </si>
  <si>
    <t xml:space="preserve">8713645120676</t>
  </si>
  <si>
    <t xml:space="preserve">Ubiflex Standaard Loodvervanger 400mm x 12m natuurrood</t>
  </si>
  <si>
    <t xml:space="preserve">0534044</t>
  </si>
  <si>
    <t xml:space="preserve">8713645121734</t>
  </si>
  <si>
    <t xml:space="preserve">Ubiflex Standaard Loodvervanger 600mm x 6m zwart</t>
  </si>
  <si>
    <t xml:space="preserve">0534048</t>
  </si>
  <si>
    <t xml:space="preserve">8713645120607</t>
  </si>
  <si>
    <t xml:space="preserve">Ubiflex Standaard Loodvervanger 1000mm x 6m natuurrood</t>
  </si>
  <si>
    <t xml:space="preserve">€ 346,35</t>
  </si>
  <si>
    <t xml:space="preserve">0534049</t>
  </si>
  <si>
    <t xml:space="preserve">8713645118239</t>
  </si>
  <si>
    <t xml:space="preserve">Ubiflex Standaard Loodvervanger 1000mm x 6m grijs</t>
  </si>
  <si>
    <t xml:space="preserve">0534050</t>
  </si>
  <si>
    <t xml:space="preserve">8713645106649</t>
  </si>
  <si>
    <t xml:space="preserve">Ubiflex Standaard Loodvervanger 1000mm x 6m zwart</t>
  </si>
  <si>
    <t xml:space="preserve">0534053</t>
  </si>
  <si>
    <t xml:space="preserve">8713645117126</t>
  </si>
  <si>
    <t xml:space="preserve">Ubiflex Standaard Loodvervanger 500mm x 12m zwart</t>
  </si>
  <si>
    <t xml:space="preserve">€ 346,45</t>
  </si>
  <si>
    <t xml:space="preserve">0534056</t>
  </si>
  <si>
    <t xml:space="preserve">8713645121727</t>
  </si>
  <si>
    <t xml:space="preserve">Ubiflex Standaard Loodvervanger 500mm x 6m zwart</t>
  </si>
  <si>
    <t xml:space="preserve">0534057</t>
  </si>
  <si>
    <t xml:space="preserve">8713645121857</t>
  </si>
  <si>
    <t xml:space="preserve">Ubiflex Standaard Loodvervanger 500mm x 6m grijs</t>
  </si>
  <si>
    <t xml:space="preserve">0534058</t>
  </si>
  <si>
    <t xml:space="preserve">8713645121888</t>
  </si>
  <si>
    <t xml:space="preserve">Ubiflex Standaard Loodvervanger 500mm x 6m natuurrood</t>
  </si>
  <si>
    <t xml:space="preserve">0534061</t>
  </si>
  <si>
    <t xml:space="preserve">8713645122670</t>
  </si>
  <si>
    <t xml:space="preserve">Ubiflex Schaar rechtshandig</t>
  </si>
  <si>
    <t xml:space="preserve">€ 51,65</t>
  </si>
  <si>
    <t xml:space="preserve">0534062</t>
  </si>
  <si>
    <t xml:space="preserve">8713645122793</t>
  </si>
  <si>
    <t xml:space="preserve">Ubiflex Voegklem zak 25 stuks</t>
  </si>
  <si>
    <t xml:space="preserve">€ 8,60</t>
  </si>
  <si>
    <t xml:space="preserve">8713645122786</t>
  </si>
  <si>
    <t xml:space="preserve">Ubiflex Kit High Tack koker 290ml zwart</t>
  </si>
  <si>
    <t xml:space="preserve">€ 8,85</t>
  </si>
  <si>
    <t xml:space="preserve">0534067</t>
  </si>
  <si>
    <t xml:space="preserve">8711465124089</t>
  </si>
  <si>
    <t xml:space="preserve">Ubiflex Panklem zak 25 stuks</t>
  </si>
  <si>
    <t xml:space="preserve">€ 11,45</t>
  </si>
  <si>
    <t xml:space="preserve">0534201</t>
  </si>
  <si>
    <t xml:space="preserve">8713645178448</t>
  </si>
  <si>
    <t xml:space="preserve">Ubiflex Standaard Loodvervanger 333mm x 6m grijs</t>
  </si>
  <si>
    <t xml:space="preserve">€ 115,45</t>
  </si>
  <si>
    <t xml:space="preserve">0534202</t>
  </si>
  <si>
    <t xml:space="preserve">8713645178455</t>
  </si>
  <si>
    <t xml:space="preserve">Ubiflex Standaard Loodvervanger 333mm x 6m natuurrood</t>
  </si>
  <si>
    <t xml:space="preserve">0534211</t>
  </si>
  <si>
    <t xml:space="preserve">8713645178479</t>
  </si>
  <si>
    <t xml:space="preserve">Ubiflex Standaard Loodvervanger 333mm x 12m grijs</t>
  </si>
  <si>
    <t xml:space="preserve">€ 230,95</t>
  </si>
  <si>
    <t xml:space="preserve">0534212</t>
  </si>
  <si>
    <t xml:space="preserve">8713645178486</t>
  </si>
  <si>
    <t xml:space="preserve">Ubiflex Standaard Loodvervanger 333mm x 12m natuurrood</t>
  </si>
  <si>
    <t xml:space="preserve">0534255</t>
  </si>
  <si>
    <t xml:space="preserve">8713645196497</t>
  </si>
  <si>
    <t xml:space="preserve">Ubiflex Ribbel Loodvervanger 250mm x 6m zwart</t>
  </si>
  <si>
    <t xml:space="preserve">€ 95,30</t>
  </si>
  <si>
    <t xml:space="preserve">0534256</t>
  </si>
  <si>
    <t xml:space="preserve">8713645196503</t>
  </si>
  <si>
    <t xml:space="preserve">Ubiflex Ribbel Loodvervanger 300mm x 6m zwart</t>
  </si>
  <si>
    <t xml:space="preserve">€ 114,35</t>
  </si>
  <si>
    <t xml:space="preserve">0534266</t>
  </si>
  <si>
    <t xml:space="preserve">8713645201320</t>
  </si>
  <si>
    <t xml:space="preserve">Ubiflex Ribbel Loodvervanger 300mm x 6m grijs</t>
  </si>
  <si>
    <t xml:space="preserve">0534276</t>
  </si>
  <si>
    <t xml:space="preserve">8713645201344</t>
  </si>
  <si>
    <t xml:space="preserve">Ubiflex Ribbel Loodvervanger 300mm x 6m natuurrood</t>
  </si>
  <si>
    <t xml:space="preserve">0535006</t>
  </si>
  <si>
    <t xml:space="preserve">8713645216775</t>
  </si>
  <si>
    <t xml:space="preserve">Ubiflex Extreme Loodvervanger 150mm x 5m rood/grijs</t>
  </si>
  <si>
    <t xml:space="preserve">€ 59,95</t>
  </si>
  <si>
    <t xml:space="preserve">0535016</t>
  </si>
  <si>
    <t xml:space="preserve">8713645216799</t>
  </si>
  <si>
    <t xml:space="preserve">Ubiflex Extreme Loodvervanger 300mm x 5m rood/grijs</t>
  </si>
  <si>
    <t xml:space="preserve">€ 119,90</t>
  </si>
  <si>
    <t xml:space="preserve">0535026</t>
  </si>
  <si>
    <t xml:space="preserve">8713645216812</t>
  </si>
  <si>
    <t xml:space="preserve">Ubiflex Extreme Loodvervanger 450mm x 5m rood/grijs</t>
  </si>
  <si>
    <t xml:space="preserve">€ 179,85</t>
  </si>
  <si>
    <t xml:space="preserve">0535055</t>
  </si>
  <si>
    <t xml:space="preserve">8713645219486</t>
  </si>
  <si>
    <t xml:space="preserve">Ubiflex Extreme Loodvervanger 150mm x 6m zwart/grijs</t>
  </si>
  <si>
    <t xml:space="preserve">€ 71,95</t>
  </si>
  <si>
    <t xml:space="preserve">0535060</t>
  </si>
  <si>
    <t xml:space="preserve">8713645219493</t>
  </si>
  <si>
    <t xml:space="preserve">Ubiflex Extreme Loodvervanger 300mm x 6m zwart/grijs</t>
  </si>
  <si>
    <t xml:space="preserve">€ 143,90</t>
  </si>
  <si>
    <t xml:space="preserve">0535065</t>
  </si>
  <si>
    <t xml:space="preserve">8713645219509</t>
  </si>
  <si>
    <t xml:space="preserve">Ubiflex Extreme Loodvervanger 450mm x 6m zwart/grijs</t>
  </si>
  <si>
    <t xml:space="preserve">€ 215,80</t>
  </si>
  <si>
    <t xml:space="preserve">0535090</t>
  </si>
  <si>
    <t xml:space="preserve">8713645215273</t>
  </si>
  <si>
    <t xml:space="preserve">Ubiflex Extreme Fix Kit koker 290ml grijs</t>
  </si>
  <si>
    <t xml:space="preserve">0541246</t>
  </si>
  <si>
    <t xml:space="preserve">8713645045740</t>
  </si>
  <si>
    <t xml:space="preserve">Dakdoorvoerschaal 131 voor dakdoorvoer 131 zwart</t>
  </si>
  <si>
    <t xml:space="preserve">€ 7,30</t>
  </si>
  <si>
    <t xml:space="preserve">0541625</t>
  </si>
  <si>
    <t xml:space="preserve">8713645221991</t>
  </si>
  <si>
    <t xml:space="preserve">Dakdoorvoerschaal 131 voor dakdoorvoer 131 terracotta</t>
  </si>
  <si>
    <t xml:space="preserve">0541627</t>
  </si>
  <si>
    <t xml:space="preserve">8713645222004</t>
  </si>
  <si>
    <t xml:space="preserve">Dakdoorvoerschaal 131 voor dakdoorvoer 131 natuurrood</t>
  </si>
  <si>
    <t xml:space="preserve">0542000</t>
  </si>
  <si>
    <t xml:space="preserve">8713645120102</t>
  </si>
  <si>
    <t xml:space="preserve">Aerfoam geïsoleerd leidingsysteem Verloop KS 150-125 zwart</t>
  </si>
  <si>
    <t xml:space="preserve">€ 9,70</t>
  </si>
  <si>
    <t xml:space="preserve">0542001</t>
  </si>
  <si>
    <t xml:space="preserve">8713645120119</t>
  </si>
  <si>
    <t xml:space="preserve">Aerfoam geïsoleerd leidingsysteem Verloop KS 180-125 zwart</t>
  </si>
  <si>
    <t xml:space="preserve">0542002</t>
  </si>
  <si>
    <t xml:space="preserve">8713645120058</t>
  </si>
  <si>
    <t xml:space="preserve">Aerfoam geïsoleerd leidingsysteem Verloop KS 180-150 zwart</t>
  </si>
  <si>
    <t xml:space="preserve">0542022</t>
  </si>
  <si>
    <t xml:space="preserve">8713645121680</t>
  </si>
  <si>
    <t xml:space="preserve">Verloop KS 160-150 zwart</t>
  </si>
  <si>
    <t xml:space="preserve">€ 11,95</t>
  </si>
  <si>
    <t xml:space="preserve">0542023</t>
  </si>
  <si>
    <t xml:space="preserve">8713645121697</t>
  </si>
  <si>
    <t xml:space="preserve">Aerfoam geïsoleerd leidingsysteem Verloop KS 200-180 zwart</t>
  </si>
  <si>
    <t xml:space="preserve">0542025</t>
  </si>
  <si>
    <t xml:space="preserve">8713645204178</t>
  </si>
  <si>
    <t xml:space="preserve">Aerfoam geïsoleerd leidingsysteem Verloop KS 160-125 zwart</t>
  </si>
  <si>
    <t xml:space="preserve">0542027</t>
  </si>
  <si>
    <t xml:space="preserve">8713645211121</t>
  </si>
  <si>
    <t xml:space="preserve">Air Excellent Verloop KS 125-123 zwart voor Ventilatiebox</t>
  </si>
  <si>
    <t xml:space="preserve">€ 8,20</t>
  </si>
  <si>
    <t xml:space="preserve">0542328</t>
  </si>
  <si>
    <t xml:space="preserve">8713645222042</t>
  </si>
  <si>
    <t xml:space="preserve">Dakdoorvoerschaal 131 voor dakdoorvoer 110 zwart</t>
  </si>
  <si>
    <t xml:space="preserve">€ 5,20</t>
  </si>
  <si>
    <t xml:space="preserve">0542329</t>
  </si>
  <si>
    <t xml:space="preserve">8713645222059</t>
  </si>
  <si>
    <t xml:space="preserve">Dakdoorvoerschaal 131 voor dakdoorvoer 110 terracotta</t>
  </si>
  <si>
    <t xml:space="preserve">0542331</t>
  </si>
  <si>
    <t xml:space="preserve">8713645222066</t>
  </si>
  <si>
    <t xml:space="preserve">Dakdoorvoerschaal 131 voor dakdoorvoer 110 natuurrood</t>
  </si>
  <si>
    <t xml:space="preserve">0542420</t>
  </si>
  <si>
    <t xml:space="preserve">8713645116198</t>
  </si>
  <si>
    <t xml:space="preserve">Verloop KS 166-125 zwart</t>
  </si>
  <si>
    <t xml:space="preserve">€ 8,80</t>
  </si>
  <si>
    <t xml:space="preserve">0542426</t>
  </si>
  <si>
    <t xml:space="preserve">8713645117942</t>
  </si>
  <si>
    <t xml:space="preserve">Verloop KS 166-150 zwart voor dakdoorvoer 166</t>
  </si>
  <si>
    <t xml:space="preserve">€ 9,85</t>
  </si>
  <si>
    <t xml:space="preserve">0544170</t>
  </si>
  <si>
    <t xml:space="preserve">8713645014593</t>
  </si>
  <si>
    <t xml:space="preserve">Dakdoorvoerschaal 5-25° (plakplaat vlak-hellend) voor DDV 131 zwart</t>
  </si>
  <si>
    <t xml:space="preserve">0544171</t>
  </si>
  <si>
    <t xml:space="preserve">8713645072432</t>
  </si>
  <si>
    <t xml:space="preserve">Dakdoorvoerschaal 5-15° (plakplaat vlak-hellend) voor DDV 166 zwart</t>
  </si>
  <si>
    <t xml:space="preserve">0544180</t>
  </si>
  <si>
    <t xml:space="preserve">8713645028767</t>
  </si>
  <si>
    <t xml:space="preserve">Verloop KS 160-150-125-110-100 zwart voor RVT 200</t>
  </si>
  <si>
    <t xml:space="preserve">€ 14,25</t>
  </si>
  <si>
    <t xml:space="preserve">0544183</t>
  </si>
  <si>
    <t xml:space="preserve">8713645014449</t>
  </si>
  <si>
    <t xml:space="preserve">Dakdoorvoerschaal 5-25° (plakplaat vlak-hellend) voor DDV 110 zwart</t>
  </si>
  <si>
    <t xml:space="preserve">0550160</t>
  </si>
  <si>
    <t xml:space="preserve">8713645058412</t>
  </si>
  <si>
    <t xml:space="preserve">VloerVent Muurrooster Nieuwbouw KS BF/MF grijs</t>
  </si>
  <si>
    <t xml:space="preserve">0590077</t>
  </si>
  <si>
    <t xml:space="preserve">8713645013336</t>
  </si>
  <si>
    <t xml:space="preserve">Schuimring 80-140 wit voor afzuigventiel</t>
  </si>
  <si>
    <t xml:space="preserve">€ 1,76</t>
  </si>
  <si>
    <t xml:space="preserve">0652034</t>
  </si>
  <si>
    <t xml:space="preserve">8713645131573</t>
  </si>
  <si>
    <t xml:space="preserve">Combi uitzetter voor Purilan/PE Dakraam</t>
  </si>
  <si>
    <t xml:space="preserve">0652140</t>
  </si>
  <si>
    <t xml:space="preserve">8713645046334</t>
  </si>
  <si>
    <t xml:space="preserve">Purilan Schanier 31 onder- en bovendeel</t>
  </si>
  <si>
    <t xml:space="preserve">€ 5,00</t>
  </si>
  <si>
    <t xml:space="preserve">0702876</t>
  </si>
  <si>
    <t xml:space="preserve">4049193024284</t>
  </si>
  <si>
    <t xml:space="preserve">Rolux Buitenwandsysteem Verlengbuis Conc PP/RVS 80/125 250mm</t>
  </si>
  <si>
    <t xml:space="preserve">€ 29,75</t>
  </si>
  <si>
    <t xml:space="preserve">0702877</t>
  </si>
  <si>
    <t xml:space="preserve">4049193024307</t>
  </si>
  <si>
    <t xml:space="preserve">Rolux Buitenwandsysteem Verlengbuis Conc PP/RVS 80/125 500mm</t>
  </si>
  <si>
    <t xml:space="preserve">€ 59,80</t>
  </si>
  <si>
    <t xml:space="preserve">0702878</t>
  </si>
  <si>
    <t xml:space="preserve">4049193024314</t>
  </si>
  <si>
    <t xml:space="preserve">Rolux Buitenwandsysteem Verlengbuis Conc PP/RVS 80/125 1000mm</t>
  </si>
  <si>
    <t xml:space="preserve">€ 101,80</t>
  </si>
  <si>
    <t xml:space="preserve">0702879</t>
  </si>
  <si>
    <t xml:space="preserve">4049193024321</t>
  </si>
  <si>
    <t xml:space="preserve">Rolux Buitenwandsysteem Verlengbuis Conc PP/RVS 80/125 2000mm</t>
  </si>
  <si>
    <t xml:space="preserve">€ 208,05</t>
  </si>
  <si>
    <t xml:space="preserve">0702880</t>
  </si>
  <si>
    <t xml:space="preserve">4049193024383</t>
  </si>
  <si>
    <t xml:space="preserve">Rolux Buitenwandsysteem Bocht 15° Conc PP/RVS 80/125</t>
  </si>
  <si>
    <t xml:space="preserve">€ 63,15</t>
  </si>
  <si>
    <t xml:space="preserve">0702881</t>
  </si>
  <si>
    <t xml:space="preserve">4049193024406</t>
  </si>
  <si>
    <t xml:space="preserve">Rolux Buitenwandsysteem Bocht 30° Conc PP/RVS 80/125</t>
  </si>
  <si>
    <t xml:space="preserve">€ 63,95</t>
  </si>
  <si>
    <t xml:space="preserve">0702882</t>
  </si>
  <si>
    <t xml:space="preserve">4049193024420</t>
  </si>
  <si>
    <t xml:space="preserve">Rolux Buitenwandsysteem Bocht 45° Conc PP/RVS 80/125</t>
  </si>
  <si>
    <t xml:space="preserve">0702883</t>
  </si>
  <si>
    <t xml:space="preserve">4049193024437</t>
  </si>
  <si>
    <t xml:space="preserve">Rolux Buitenwandsysteem Bocht 87° Conc PP/RVS 80/125</t>
  </si>
  <si>
    <t xml:space="preserve">€ 78,15</t>
  </si>
  <si>
    <t xml:space="preserve">0702884</t>
  </si>
  <si>
    <t xml:space="preserve">4049193024536</t>
  </si>
  <si>
    <t xml:space="preserve">Rolux Buitenwandsysteem Inspectiebuis Conc PP/RVS 80/125</t>
  </si>
  <si>
    <t xml:space="preserve">€ 106,95</t>
  </si>
  <si>
    <t xml:space="preserve">0702889</t>
  </si>
  <si>
    <t xml:space="preserve">8713645168142</t>
  </si>
  <si>
    <t xml:space="preserve">Rolux Buitenwandsysteem Muurbeugel RVS 80/125</t>
  </si>
  <si>
    <t xml:space="preserve">€ 38,45</t>
  </si>
  <si>
    <t xml:space="preserve">0702890</t>
  </si>
  <si>
    <t xml:space="preserve">4049193038007</t>
  </si>
  <si>
    <t xml:space="preserve">Rolux Buitenwandsysteem Verlengstuk Muurbeugel RVS 80/125 45-139mm</t>
  </si>
  <si>
    <t xml:space="preserve">€ 29,65</t>
  </si>
  <si>
    <t xml:space="preserve">0702891</t>
  </si>
  <si>
    <t xml:space="preserve">4049193038014</t>
  </si>
  <si>
    <t xml:space="preserve">Rolux Buitenwandsysteem Verlengstuk Muurbeugel RVS 80/125 139-297mm</t>
  </si>
  <si>
    <t xml:space="preserve">€ 46,10</t>
  </si>
  <si>
    <t xml:space="preserve">0702893</t>
  </si>
  <si>
    <t xml:space="preserve">4049193024574</t>
  </si>
  <si>
    <t xml:space="preserve">Rolux Buitenwandsysteem Topsectie Conc PP/RVS 80/125</t>
  </si>
  <si>
    <t xml:space="preserve">€ 64,60</t>
  </si>
  <si>
    <t xml:space="preserve">0702894</t>
  </si>
  <si>
    <t xml:space="preserve">4049193024338</t>
  </si>
  <si>
    <t xml:space="preserve">Rolux Buitenwandsysteem Verlengbuis Conc PP/RVS 110/160 250mm</t>
  </si>
  <si>
    <t xml:space="preserve">€ 45,65</t>
  </si>
  <si>
    <t xml:space="preserve">0702895</t>
  </si>
  <si>
    <t xml:space="preserve">4049193024345</t>
  </si>
  <si>
    <t xml:space="preserve">Rolux Buitenwandsysteem Verlengbuis Conc PP/RVS 110/160 500mm</t>
  </si>
  <si>
    <t xml:space="preserve">€ 82,30</t>
  </si>
  <si>
    <t xml:space="preserve">0702896</t>
  </si>
  <si>
    <t xml:space="preserve">4049193024352</t>
  </si>
  <si>
    <t xml:space="preserve">Rolux Buitenwandsysteem Verlengbuis Conc PP/RVS 110/160 1000mm</t>
  </si>
  <si>
    <t xml:space="preserve">€ 138,00</t>
  </si>
  <si>
    <t xml:space="preserve">0702897</t>
  </si>
  <si>
    <t xml:space="preserve">4049193024369</t>
  </si>
  <si>
    <t xml:space="preserve">Rolux Buitenwandsysteem Verlengbuis Conc PP/RVS 110/160 2000mm</t>
  </si>
  <si>
    <t xml:space="preserve">€ 270,45</t>
  </si>
  <si>
    <t xml:space="preserve">0702898</t>
  </si>
  <si>
    <t xml:space="preserve">4049193024451</t>
  </si>
  <si>
    <t xml:space="preserve">Rolux Buitenwandsysteem Bocht 15° Conc PP/RVS 110/160</t>
  </si>
  <si>
    <t xml:space="preserve">€ 80,85</t>
  </si>
  <si>
    <t xml:space="preserve">0702899</t>
  </si>
  <si>
    <t xml:space="preserve">4049193024468</t>
  </si>
  <si>
    <t xml:space="preserve">Rolux Buitenwandsysteem Bocht 30° Conc PP/RVS 110/160</t>
  </si>
  <si>
    <t xml:space="preserve">€ 85,00</t>
  </si>
  <si>
    <t xml:space="preserve">0702900</t>
  </si>
  <si>
    <t xml:space="preserve">4049193024475</t>
  </si>
  <si>
    <t xml:space="preserve">Rolux Buitenwandsysteem Bocht 45° Conc PP/RVS 110/160</t>
  </si>
  <si>
    <t xml:space="preserve">€ 91,75</t>
  </si>
  <si>
    <t xml:space="preserve">0702901</t>
  </si>
  <si>
    <t xml:space="preserve">4049193024482</t>
  </si>
  <si>
    <t xml:space="preserve">Rolux Buitenwandsysteem Bocht 87° Conc PP/RVS 110/160</t>
  </si>
  <si>
    <t xml:space="preserve">€ 107,15</t>
  </si>
  <si>
    <t xml:space="preserve">0702902</t>
  </si>
  <si>
    <t xml:space="preserve">4049193024543</t>
  </si>
  <si>
    <t xml:space="preserve">Rolux Buitenwandsysteem Inspectiebuis Conc PP/RVS 110/160</t>
  </si>
  <si>
    <t xml:space="preserve">€ 231,90</t>
  </si>
  <si>
    <t xml:space="preserve">0702903</t>
  </si>
  <si>
    <t xml:space="preserve">4049193069100</t>
  </si>
  <si>
    <t xml:space="preserve">Rolux Buitenwandsysteem Stoel met bocht Conc PP/RVS 110/160</t>
  </si>
  <si>
    <t xml:space="preserve">€ 299,95</t>
  </si>
  <si>
    <t xml:space="preserve">0702907</t>
  </si>
  <si>
    <t xml:space="preserve">4049193033538</t>
  </si>
  <si>
    <t xml:space="preserve">Rolux Buitenwandsysteem Muurbeugel RVS 110/160</t>
  </si>
  <si>
    <t xml:space="preserve">€ 42,70</t>
  </si>
  <si>
    <t xml:space="preserve">0702908</t>
  </si>
  <si>
    <t xml:space="preserve">4049193038038</t>
  </si>
  <si>
    <t xml:space="preserve">Rolux Buitenwandsysteem Verlengstuk Muurbeugel RVS 110/160 45-156mm</t>
  </si>
  <si>
    <t xml:space="preserve">€ 31,70</t>
  </si>
  <si>
    <t xml:space="preserve">0702909</t>
  </si>
  <si>
    <t xml:space="preserve">4049193038045</t>
  </si>
  <si>
    <t xml:space="preserve">Rolux Buitenwandsysteem Verlengstuk Muurbeugel RVS 110/160 156-348mm</t>
  </si>
  <si>
    <t xml:space="preserve">€ 51,30</t>
  </si>
  <si>
    <t xml:space="preserve">0702910</t>
  </si>
  <si>
    <t xml:space="preserve">8713645237114</t>
  </si>
  <si>
    <t xml:space="preserve">Rolux Buitenwandsysteem Stoel met bocht Conc RVS 110/160 - 80/125</t>
  </si>
  <si>
    <t xml:space="preserve">€ 196,85</t>
  </si>
  <si>
    <t xml:space="preserve">0702912</t>
  </si>
  <si>
    <t xml:space="preserve">8713645237121</t>
  </si>
  <si>
    <t xml:space="preserve">Rolux Buitenwandsysteem Etage -T Conc PP/RVS 110/160 - 80/125</t>
  </si>
  <si>
    <t xml:space="preserve">€ 313,00</t>
  </si>
  <si>
    <t xml:space="preserve">0702922</t>
  </si>
  <si>
    <t xml:space="preserve">4049193069070</t>
  </si>
  <si>
    <t xml:space="preserve">Rolux Buitenwandsysteem Klemband RVS 80/125</t>
  </si>
  <si>
    <t xml:space="preserve">0702923</t>
  </si>
  <si>
    <t xml:space="preserve">4049193069117</t>
  </si>
  <si>
    <t xml:space="preserve">Rolux Buitenwandsysteem Klemband RVS 110/160</t>
  </si>
  <si>
    <t xml:space="preserve">€ 22,75</t>
  </si>
  <si>
    <t xml:space="preserve">0703444</t>
  </si>
  <si>
    <t xml:space="preserve">4049193021382</t>
  </si>
  <si>
    <t xml:space="preserve">Rolux Buitenwandsysteem Muurplaat RVS 80/125</t>
  </si>
  <si>
    <t xml:space="preserve">0703445</t>
  </si>
  <si>
    <t xml:space="preserve">4049193025656</t>
  </si>
  <si>
    <t xml:space="preserve">Rolux Buitenwandsysteem Stoel met bocht Conc PP/RVS 80/125</t>
  </si>
  <si>
    <t xml:space="preserve">€ 218,30</t>
  </si>
  <si>
    <t xml:space="preserve">0703446</t>
  </si>
  <si>
    <t xml:space="preserve">4049193024581</t>
  </si>
  <si>
    <t xml:space="preserve">Rolux Buitenwandsysteem Luchttoevoerelement Conc PP/RVS 80/125</t>
  </si>
  <si>
    <t xml:space="preserve">€ 79,15</t>
  </si>
  <si>
    <t xml:space="preserve">0703447</t>
  </si>
  <si>
    <t xml:space="preserve">4049193024550</t>
  </si>
  <si>
    <t xml:space="preserve">Rolux Buitenwandsysteem Dakdoorvoer Conc PP/RVS 80/125 1000mm</t>
  </si>
  <si>
    <t xml:space="preserve">€ 161,40</t>
  </si>
  <si>
    <t xml:space="preserve">0703481</t>
  </si>
  <si>
    <t xml:space="preserve">4049193021405</t>
  </si>
  <si>
    <t xml:space="preserve">Rolux Buitenwandsysteem Muurplaat RVS 110/160</t>
  </si>
  <si>
    <t xml:space="preserve">0703482</t>
  </si>
  <si>
    <t xml:space="preserve">8713645123639</t>
  </si>
  <si>
    <t xml:space="preserve">Rolux Buitenwandsysteem Luchttoevoerelement Conc PP/RVS 110/160</t>
  </si>
  <si>
    <t xml:space="preserve">€ 93,85</t>
  </si>
  <si>
    <t xml:space="preserve">8713645162454</t>
  </si>
  <si>
    <t xml:space="preserve">Solar Railverbinder ALU</t>
  </si>
  <si>
    <t xml:space="preserve">€ 4,60</t>
  </si>
  <si>
    <t xml:space="preserve">0704607</t>
  </si>
  <si>
    <t xml:space="preserve">4049193004194</t>
  </si>
  <si>
    <t xml:space="preserve">Rolux Buitenwandsysteem Topsectie Conc PP/RVS 60/100</t>
  </si>
  <si>
    <t xml:space="preserve">€ 58,40</t>
  </si>
  <si>
    <t xml:space="preserve">0704608</t>
  </si>
  <si>
    <t xml:space="preserve">4049193004200</t>
  </si>
  <si>
    <t xml:space="preserve">Rolux Buitenwandsysteem Luchttoevoerelement Conc PP/RVS 60/100</t>
  </si>
  <si>
    <t xml:space="preserve">€ 70,85</t>
  </si>
  <si>
    <t xml:space="preserve">0704609</t>
  </si>
  <si>
    <t xml:space="preserve">4049193004224</t>
  </si>
  <si>
    <t xml:space="preserve">Rolux Buitenwandsysteem Dakdoorvoer Conc PP/RVS 60/100 1000mm</t>
  </si>
  <si>
    <t xml:space="preserve">€ 165,10</t>
  </si>
  <si>
    <t xml:space="preserve">0704610</t>
  </si>
  <si>
    <t xml:space="preserve">4049193004149</t>
  </si>
  <si>
    <t xml:space="preserve">Rolux Buitenwandsysteem Verlengbuis Conc PP/RVS 60/100 500mm</t>
  </si>
  <si>
    <t xml:space="preserve">€ 50,80</t>
  </si>
  <si>
    <t xml:space="preserve">0704611</t>
  </si>
  <si>
    <t xml:space="preserve">4049193004156</t>
  </si>
  <si>
    <t xml:space="preserve">Rolux Buitenwandsysteem Verlengbuis Conc PP/RVS 60/100 1000mm</t>
  </si>
  <si>
    <t xml:space="preserve">€ 83,70</t>
  </si>
  <si>
    <t xml:space="preserve">0704612</t>
  </si>
  <si>
    <t xml:space="preserve">4049193004163</t>
  </si>
  <si>
    <t xml:space="preserve">Rolux Buitenwandsysteem Verlengbuis Conc PP/RVS 60/100 2000mm</t>
  </si>
  <si>
    <t xml:space="preserve">€ 168,80</t>
  </si>
  <si>
    <t xml:space="preserve">0704613</t>
  </si>
  <si>
    <t xml:space="preserve">4049193004170</t>
  </si>
  <si>
    <t xml:space="preserve">Rolux Buitenwandsysteem Bocht 45° Conc PP/RVS 60/100</t>
  </si>
  <si>
    <t xml:space="preserve">0704614</t>
  </si>
  <si>
    <t xml:space="preserve">4049193004187</t>
  </si>
  <si>
    <t xml:space="preserve">Rolux Buitenwandsysteem Bocht 87° Conc PP/RVS 60/100</t>
  </si>
  <si>
    <t xml:space="preserve">€ 65,95</t>
  </si>
  <si>
    <t xml:space="preserve">0704615</t>
  </si>
  <si>
    <t xml:space="preserve">4049193004132</t>
  </si>
  <si>
    <t xml:space="preserve">Rolux Buitenwandsysteem Inspectiebuis Conc PP/RVS 60/100</t>
  </si>
  <si>
    <t xml:space="preserve">€ 97,35</t>
  </si>
  <si>
    <t xml:space="preserve">0704616</t>
  </si>
  <si>
    <t xml:space="preserve">4049193004217</t>
  </si>
  <si>
    <t xml:space="preserve">Rolux Buitenwandsysteem Muurbeugel RVS 60/100</t>
  </si>
  <si>
    <t xml:space="preserve">€ 42,15</t>
  </si>
  <si>
    <t xml:space="preserve">0704617</t>
  </si>
  <si>
    <t xml:space="preserve">4049193004125</t>
  </si>
  <si>
    <t xml:space="preserve">Rolux Buitenwandsysteem Stoel met bocht Conc PP/RVS 60/100</t>
  </si>
  <si>
    <t xml:space="preserve">€ 193,10</t>
  </si>
  <si>
    <t xml:space="preserve">0704618</t>
  </si>
  <si>
    <t xml:space="preserve">4049193044954</t>
  </si>
  <si>
    <t xml:space="preserve">Rolux Buitenwandsysteem Klemband RVS 60/100</t>
  </si>
  <si>
    <t xml:space="preserve">€ 16,30</t>
  </si>
  <si>
    <t xml:space="preserve">0710020</t>
  </si>
  <si>
    <t xml:space="preserve">8713645196565</t>
  </si>
  <si>
    <t xml:space="preserve">Verloop KS 144 naar 110 voor Universe op te ruime plakplaat zwart</t>
  </si>
  <si>
    <t xml:space="preserve">0710403</t>
  </si>
  <si>
    <t xml:space="preserve">8713645071916</t>
  </si>
  <si>
    <t xml:space="preserve">Rolux Kap 4G HR voor service</t>
  </si>
  <si>
    <t xml:space="preserve">0710771</t>
  </si>
  <si>
    <t xml:space="preserve">8713645118550</t>
  </si>
  <si>
    <t xml:space="preserve">Rolux Flex Trekbeveiligingsclip metaal 60 op star</t>
  </si>
  <si>
    <t xml:space="preserve">€ 3,60</t>
  </si>
  <si>
    <t xml:space="preserve">0710805</t>
  </si>
  <si>
    <t xml:space="preserve">8713645210995</t>
  </si>
  <si>
    <t xml:space="preserve">Rooster RVS 80</t>
  </si>
  <si>
    <t xml:space="preserve">0710818</t>
  </si>
  <si>
    <t xml:space="preserve">8713645111889</t>
  </si>
  <si>
    <t xml:space="preserve">Sifon Condensopvang</t>
  </si>
  <si>
    <t xml:space="preserve">€ 28,70</t>
  </si>
  <si>
    <t xml:space="preserve">0710907</t>
  </si>
  <si>
    <t xml:space="preserve">8713645221335</t>
  </si>
  <si>
    <t xml:space="preserve">Kompakt 2.0 Rookgaskap</t>
  </si>
  <si>
    <t xml:space="preserve">0710998</t>
  </si>
  <si>
    <t xml:space="preserve">8713645103013</t>
  </si>
  <si>
    <t xml:space="preserve">Ring EPDM 80 grijs</t>
  </si>
  <si>
    <t xml:space="preserve">0712006</t>
  </si>
  <si>
    <t xml:space="preserve">8713645069005</t>
  </si>
  <si>
    <t xml:space="preserve">Klemband 100 voor stompe adapter Conc</t>
  </si>
  <si>
    <t xml:space="preserve">0713041</t>
  </si>
  <si>
    <t xml:space="preserve">8713645116334</t>
  </si>
  <si>
    <t xml:space="preserve">Kompakt Plakplaat Plat dak ALU</t>
  </si>
  <si>
    <t xml:space="preserve">0713526</t>
  </si>
  <si>
    <t xml:space="preserve">8713645051819</t>
  </si>
  <si>
    <t xml:space="preserve">Kompakt Adapter Plat dak KS</t>
  </si>
  <si>
    <t xml:space="preserve">€ 13,85</t>
  </si>
  <si>
    <t xml:space="preserve">0713633</t>
  </si>
  <si>
    <t xml:space="preserve">8713645171371</t>
  </si>
  <si>
    <t xml:space="preserve">Kompakt Plat dak RGA-LTV-Par/MV/WTW/Riool</t>
  </si>
  <si>
    <t xml:space="preserve">€ 227,80</t>
  </si>
  <si>
    <t xml:space="preserve">0713634</t>
  </si>
  <si>
    <t xml:space="preserve">8713645171388</t>
  </si>
  <si>
    <t xml:space="preserve">Kompakt 15-45° RGA-LTV-PAR/MV/WTW/Riool</t>
  </si>
  <si>
    <t xml:space="preserve">€ 269,10</t>
  </si>
  <si>
    <t xml:space="preserve">0713635</t>
  </si>
  <si>
    <t xml:space="preserve">8713645171395</t>
  </si>
  <si>
    <t xml:space="preserve">Kompakt 45-55° RGA-LTV-PAR/MV/WTW/Riool</t>
  </si>
  <si>
    <t xml:space="preserve">€ 280,75</t>
  </si>
  <si>
    <t xml:space="preserve">0713636</t>
  </si>
  <si>
    <t xml:space="preserve">8713645179476</t>
  </si>
  <si>
    <t xml:space="preserve">Kompakt 45-55° RGA-LTV-PAR/MV/WTW</t>
  </si>
  <si>
    <t xml:space="preserve">€ 252,25</t>
  </si>
  <si>
    <t xml:space="preserve">0713637</t>
  </si>
  <si>
    <t xml:space="preserve">8713645179469</t>
  </si>
  <si>
    <t xml:space="preserve">Kompakt 15-45° RGA-LTV-PAR/MV/WTW</t>
  </si>
  <si>
    <t xml:space="preserve">€ 240,20</t>
  </si>
  <si>
    <t xml:space="preserve">0713638</t>
  </si>
  <si>
    <t xml:space="preserve">8713645179452</t>
  </si>
  <si>
    <t xml:space="preserve">Kompakt Plat dak RGA-LTV-PAR/MV/WTW</t>
  </si>
  <si>
    <t xml:space="preserve">€ 198,80</t>
  </si>
  <si>
    <t xml:space="preserve">0713650</t>
  </si>
  <si>
    <t xml:space="preserve">8713645201160</t>
  </si>
  <si>
    <t xml:space="preserve">Kompakt 2.0 RGA-LTV-PAR/MV/WTW-150/Riool</t>
  </si>
  <si>
    <t xml:space="preserve">0713651</t>
  </si>
  <si>
    <t xml:space="preserve">8713645212203</t>
  </si>
  <si>
    <t xml:space="preserve">Kompakt 2.0 RGA-LTV-PAR/MV/WTW-150/Riool verlengd</t>
  </si>
  <si>
    <t xml:space="preserve">€ 365,35</t>
  </si>
  <si>
    <t xml:space="preserve">0713652</t>
  </si>
  <si>
    <t xml:space="preserve">8713645218168</t>
  </si>
  <si>
    <t xml:space="preserve">Kompakt 2.0 RGA/LTV-Conc/MV/WTW-150/Riool verlengd</t>
  </si>
  <si>
    <t xml:space="preserve">0713655</t>
  </si>
  <si>
    <t xml:space="preserve">8713645201177</t>
  </si>
  <si>
    <t xml:space="preserve">Kompakt 2.0 RGA-LTV-PAR/MV/WTW-150</t>
  </si>
  <si>
    <t xml:space="preserve">0713656</t>
  </si>
  <si>
    <t xml:space="preserve">8713645213156</t>
  </si>
  <si>
    <t xml:space="preserve">Kompakt 2.0 RGA-LTV-PAR/MV/WTW-150 verlengd</t>
  </si>
  <si>
    <t xml:space="preserve">0713660</t>
  </si>
  <si>
    <t xml:space="preserve">8713645201184</t>
  </si>
  <si>
    <t xml:space="preserve">Kompakt 2.0 RGA-LTV-PAR/MV/WTW-160/Riool</t>
  </si>
  <si>
    <t xml:space="preserve">0713661</t>
  </si>
  <si>
    <t xml:space="preserve">8713645213163</t>
  </si>
  <si>
    <t xml:space="preserve">Kompakt 2.0 RGA-LTV-PAR/MV/WTW-160/Riool verlengd</t>
  </si>
  <si>
    <t xml:space="preserve">0713662</t>
  </si>
  <si>
    <t xml:space="preserve">8713645218175</t>
  </si>
  <si>
    <t xml:space="preserve">Kompakt 2.0 RGA/LTV-Conc/MV/WTW-160/Riool verlengd</t>
  </si>
  <si>
    <t xml:space="preserve">0713665</t>
  </si>
  <si>
    <t xml:space="preserve">8713645210988</t>
  </si>
  <si>
    <t xml:space="preserve">Kompakt 2.0 RGA-LTV-PAR/MV/WTW-160</t>
  </si>
  <si>
    <t xml:space="preserve">0713666</t>
  </si>
  <si>
    <t xml:space="preserve">8713645213170</t>
  </si>
  <si>
    <t xml:space="preserve">Kompakt 2.0 RGA-LTV-PAR/MV/WTW-160 verlengd</t>
  </si>
  <si>
    <t xml:space="preserve">0713670</t>
  </si>
  <si>
    <t xml:space="preserve">8713645211954</t>
  </si>
  <si>
    <t xml:space="preserve">Kompakt 2.0 MV/WTW-160/Riool</t>
  </si>
  <si>
    <t xml:space="preserve">0713671</t>
  </si>
  <si>
    <t xml:space="preserve">8713645213187</t>
  </si>
  <si>
    <t xml:space="preserve">Kompakt 2.0 MV/WTW-160/Riool verlengd</t>
  </si>
  <si>
    <t xml:space="preserve">0713676</t>
  </si>
  <si>
    <t xml:space="preserve">8713645213194</t>
  </si>
  <si>
    <t xml:space="preserve">Kompakt 2.0 WTW/Warmtepomp 200</t>
  </si>
  <si>
    <t xml:space="preserve">0714644</t>
  </si>
  <si>
    <t xml:space="preserve">8713645058498</t>
  </si>
  <si>
    <t xml:space="preserve">Kompakt Indekdeel Sneldek 25-35°</t>
  </si>
  <si>
    <t xml:space="preserve">€ 85,35</t>
  </si>
  <si>
    <t xml:space="preserve">0714645</t>
  </si>
  <si>
    <t xml:space="preserve">8713645058504</t>
  </si>
  <si>
    <t xml:space="preserve">Kompakt Indekdeel Sneldek 35-45°</t>
  </si>
  <si>
    <t xml:space="preserve">0714646</t>
  </si>
  <si>
    <t xml:space="preserve">8713645058511</t>
  </si>
  <si>
    <t xml:space="preserve">Kompakt Indekdeel Sneldek 45-55°</t>
  </si>
  <si>
    <t xml:space="preserve">€ 94,30</t>
  </si>
  <si>
    <t xml:space="preserve">0714647</t>
  </si>
  <si>
    <t xml:space="preserve">8713645058528</t>
  </si>
  <si>
    <t xml:space="preserve">Kompakt Indekdeel Sneldek 15-25°</t>
  </si>
  <si>
    <t xml:space="preserve">0714656</t>
  </si>
  <si>
    <t xml:space="preserve">8713645171487</t>
  </si>
  <si>
    <t xml:space="preserve">Kompakt Indekdeel Universeel 15-25°</t>
  </si>
  <si>
    <t xml:space="preserve">€ 101,40</t>
  </si>
  <si>
    <t xml:space="preserve">0714657</t>
  </si>
  <si>
    <t xml:space="preserve">8713645171494</t>
  </si>
  <si>
    <t xml:space="preserve">Kompakt Indekdeel Universeel 35-45°</t>
  </si>
  <si>
    <t xml:space="preserve">0714658</t>
  </si>
  <si>
    <t xml:space="preserve">8713645171500</t>
  </si>
  <si>
    <t xml:space="preserve">Kompakt Indekdeel Universeel 45-55°</t>
  </si>
  <si>
    <t xml:space="preserve">€ 110,05</t>
  </si>
  <si>
    <t xml:space="preserve">0714659</t>
  </si>
  <si>
    <t xml:space="preserve">8713645171517</t>
  </si>
  <si>
    <t xml:space="preserve">Kompakt Indekdeel Universeel 25-35°</t>
  </si>
  <si>
    <t xml:space="preserve">0715101</t>
  </si>
  <si>
    <t xml:space="preserve">8713645223148</t>
  </si>
  <si>
    <t xml:space="preserve">Decorio Luchtwarmtepompbehuizing 30-55° excl. montageplank</t>
  </si>
  <si>
    <t xml:space="preserve">€ 1122,00</t>
  </si>
  <si>
    <t xml:space="preserve">0715102</t>
  </si>
  <si>
    <t xml:space="preserve">8713645223155</t>
  </si>
  <si>
    <t xml:space="preserve">Decorio Luchtwarmtepompbehuizing 30-55°</t>
  </si>
  <si>
    <t xml:space="preserve">€ 1142,40</t>
  </si>
  <si>
    <t xml:space="preserve">0716004</t>
  </si>
  <si>
    <t xml:space="preserve">8713645117553</t>
  </si>
  <si>
    <t xml:space="preserve">Rolux Flex Buis PP 60 50m transparant</t>
  </si>
  <si>
    <t xml:space="preserve">€ 711,10</t>
  </si>
  <si>
    <t xml:space="preserve">0716008</t>
  </si>
  <si>
    <t xml:space="preserve">8713645055824</t>
  </si>
  <si>
    <t xml:space="preserve">Rolux Flex Buis PP 80 12,5m transparant</t>
  </si>
  <si>
    <t xml:space="preserve">€ 215,10</t>
  </si>
  <si>
    <t xml:space="preserve">0716009</t>
  </si>
  <si>
    <t xml:space="preserve">8713645027647</t>
  </si>
  <si>
    <t xml:space="preserve">Rolux Flex Buis PP 80 25m transparant</t>
  </si>
  <si>
    <t xml:space="preserve">€ 423,55</t>
  </si>
  <si>
    <t xml:space="preserve">0716011</t>
  </si>
  <si>
    <t xml:space="preserve">8713645046204</t>
  </si>
  <si>
    <t xml:space="preserve">Rolux Flex Buis PP 80 50m transparant</t>
  </si>
  <si>
    <t xml:space="preserve">€ 830,35</t>
  </si>
  <si>
    <t xml:space="preserve">0716013</t>
  </si>
  <si>
    <t xml:space="preserve">8713645117591</t>
  </si>
  <si>
    <t xml:space="preserve">Rolux Flex Bocht 87° PP 60 transparant</t>
  </si>
  <si>
    <t xml:space="preserve">€ 21,70</t>
  </si>
  <si>
    <t xml:space="preserve">0716014</t>
  </si>
  <si>
    <t xml:space="preserve">8713645069012</t>
  </si>
  <si>
    <t xml:space="preserve">Rolux Flex Buis PP 110 15m transparant</t>
  </si>
  <si>
    <t xml:space="preserve">€ 498,20</t>
  </si>
  <si>
    <t xml:space="preserve">0716016</t>
  </si>
  <si>
    <t xml:space="preserve">8713645069029</t>
  </si>
  <si>
    <t xml:space="preserve">Rolux Flex Buis PP 110 25m transparant</t>
  </si>
  <si>
    <t xml:space="preserve">€ 770,20</t>
  </si>
  <si>
    <t xml:space="preserve">0716017</t>
  </si>
  <si>
    <t xml:space="preserve">8713645069036</t>
  </si>
  <si>
    <t xml:space="preserve">Rolux Flex Koppelstuk Flex/Flex-110 PP 110 transparant</t>
  </si>
  <si>
    <t xml:space="preserve">€ 153,80</t>
  </si>
  <si>
    <t xml:space="preserve">0716018</t>
  </si>
  <si>
    <t xml:space="preserve">8713645069043</t>
  </si>
  <si>
    <t xml:space="preserve">Rolux Flex Koppelstuk Flex/mof-110 PP 110 transparant</t>
  </si>
  <si>
    <t xml:space="preserve">€ 151,25</t>
  </si>
  <si>
    <t xml:space="preserve">0716019</t>
  </si>
  <si>
    <t xml:space="preserve">8713645117584</t>
  </si>
  <si>
    <t xml:space="preserve">Rolux Flex Koppelstuk Flex-60/mof-60 PP 60 transparant</t>
  </si>
  <si>
    <t xml:space="preserve">€ 33,85</t>
  </si>
  <si>
    <t xml:space="preserve">0716021</t>
  </si>
  <si>
    <t xml:space="preserve">8713645117614</t>
  </si>
  <si>
    <t xml:space="preserve">Rolux Flex Koppelstuk Flex-60/spie-60 PP 60 transparant</t>
  </si>
  <si>
    <t xml:space="preserve">0716022</t>
  </si>
  <si>
    <t xml:space="preserve">8713645117577</t>
  </si>
  <si>
    <t xml:space="preserve">Rolux Flex Koppelstuk Flex/Flex-60 PP 60 transparant</t>
  </si>
  <si>
    <t xml:space="preserve">€ 36,65</t>
  </si>
  <si>
    <t xml:space="preserve">0716023</t>
  </si>
  <si>
    <t xml:space="preserve">8713645117638</t>
  </si>
  <si>
    <t xml:space="preserve">Rolux Flex Montagehulp 60 met touw</t>
  </si>
  <si>
    <t xml:space="preserve">0716025</t>
  </si>
  <si>
    <t xml:space="preserve">8713645212135</t>
  </si>
  <si>
    <t xml:space="preserve">Rolux Flex Uitmonding voor niveaukap renovatie 60 trekvast</t>
  </si>
  <si>
    <t xml:space="preserve">€ 54,00</t>
  </si>
  <si>
    <t xml:space="preserve">0716027</t>
  </si>
  <si>
    <t xml:space="preserve">8713645217642</t>
  </si>
  <si>
    <t xml:space="preserve">Uitmonding voor niveaukap renovatie 60-80</t>
  </si>
  <si>
    <t xml:space="preserve">€ 57,85</t>
  </si>
  <si>
    <t xml:space="preserve">0716028</t>
  </si>
  <si>
    <t xml:space="preserve">8713645117522</t>
  </si>
  <si>
    <t xml:space="preserve">Rolux Flex Schoorsteenkap met grespotaansluiting KS 60 zwart</t>
  </si>
  <si>
    <t xml:space="preserve">€ 60,25</t>
  </si>
  <si>
    <t xml:space="preserve">0716029</t>
  </si>
  <si>
    <t xml:space="preserve">8713645117560</t>
  </si>
  <si>
    <t xml:space="preserve">Rolux Flex Afstandhouder KS 60 6 stuks</t>
  </si>
  <si>
    <t xml:space="preserve">€ 36,30</t>
  </si>
  <si>
    <t xml:space="preserve">0716031</t>
  </si>
  <si>
    <t xml:space="preserve">8713645117607</t>
  </si>
  <si>
    <t xml:space="preserve">Rolux Flex Bocht 45° PP 60 transparant</t>
  </si>
  <si>
    <t xml:space="preserve">0716032</t>
  </si>
  <si>
    <t xml:space="preserve">8713645221137</t>
  </si>
  <si>
    <t xml:space="preserve">Rolux Flex Renovatieset niveaukap trekvast 60</t>
  </si>
  <si>
    <t xml:space="preserve">€ 61,55</t>
  </si>
  <si>
    <t xml:space="preserve">0716034</t>
  </si>
  <si>
    <t xml:space="preserve">8713645120966</t>
  </si>
  <si>
    <t xml:space="preserve">Rolux Flex Koppelstuk Flex-60/spie-80 PP 60 transparant</t>
  </si>
  <si>
    <t xml:space="preserve">€ 29,35</t>
  </si>
  <si>
    <t xml:space="preserve">0716035</t>
  </si>
  <si>
    <t xml:space="preserve">8713645219318</t>
  </si>
  <si>
    <t xml:space="preserve">Rolux Flex Bocht met schoorsteensteun vlakke wand PP 60 transparant</t>
  </si>
  <si>
    <t xml:space="preserve">€ 51,00</t>
  </si>
  <si>
    <t xml:space="preserve">0716036</t>
  </si>
  <si>
    <t xml:space="preserve">8713645121437</t>
  </si>
  <si>
    <t xml:space="preserve">Rolux Flex Koppelstuk Flex-60/mof-80 PP 60 transparant</t>
  </si>
  <si>
    <t xml:space="preserve">€ 40,20</t>
  </si>
  <si>
    <t xml:space="preserve">0716039</t>
  </si>
  <si>
    <t xml:space="preserve">8713645121178</t>
  </si>
  <si>
    <t xml:space="preserve">Rolux Flex Renovatieuitmonding PP 60 vlakke plaat zwart</t>
  </si>
  <si>
    <t xml:space="preserve">€ 28,90</t>
  </si>
  <si>
    <t xml:space="preserve">0716041</t>
  </si>
  <si>
    <t xml:space="preserve">8713645121765</t>
  </si>
  <si>
    <t xml:space="preserve">Rolux Flex Buis Flexibel PP 60 25m transparant</t>
  </si>
  <si>
    <t xml:space="preserve">€ 384,55</t>
  </si>
  <si>
    <t xml:space="preserve">0716043</t>
  </si>
  <si>
    <t xml:space="preserve">4049193012472</t>
  </si>
  <si>
    <t xml:space="preserve">Rolux Flex Buis Flexibel PP 60 12,5m transparant</t>
  </si>
  <si>
    <t xml:space="preserve">€ 192,30</t>
  </si>
  <si>
    <t xml:space="preserve">0716051</t>
  </si>
  <si>
    <t xml:space="preserve">8713645181219</t>
  </si>
  <si>
    <t xml:space="preserve">Rolux half CLV Ketelaansluitleiding Conc PP/KS 580mm 80/125 met vergr</t>
  </si>
  <si>
    <t xml:space="preserve">€ 73,85</t>
  </si>
  <si>
    <t xml:space="preserve">0716061</t>
  </si>
  <si>
    <t xml:space="preserve">8713645123431</t>
  </si>
  <si>
    <t xml:space="preserve">Rolux half CLV Etage T-stuk PP 160-80 transparant</t>
  </si>
  <si>
    <t xml:space="preserve">€ 127,40</t>
  </si>
  <si>
    <t xml:space="preserve">0716064</t>
  </si>
  <si>
    <t xml:space="preserve">8713645171524</t>
  </si>
  <si>
    <t xml:space="preserve">Verloop PP 80-100 spie-mof transparant</t>
  </si>
  <si>
    <t xml:space="preserve">€ 21,85</t>
  </si>
  <si>
    <t xml:space="preserve">0716071</t>
  </si>
  <si>
    <t xml:space="preserve">4049193052645</t>
  </si>
  <si>
    <t xml:space="preserve">Rolux half CLV Etage T-stuk PP 110-80 transparant</t>
  </si>
  <si>
    <t xml:space="preserve">€ 85,75</t>
  </si>
  <si>
    <t xml:space="preserve">0716072</t>
  </si>
  <si>
    <t xml:space="preserve">4049193009960</t>
  </si>
  <si>
    <t xml:space="preserve">Rolux half CLV Etage T-stuk PP 125-80 transparant</t>
  </si>
  <si>
    <t xml:space="preserve">0716074</t>
  </si>
  <si>
    <t xml:space="preserve">4049193068844</t>
  </si>
  <si>
    <t xml:space="preserve">Rolux half CLV Etage T-stuk PP 200-80 transparant</t>
  </si>
  <si>
    <t xml:space="preserve">€ 195,15</t>
  </si>
  <si>
    <t xml:space="preserve">0716075</t>
  </si>
  <si>
    <t xml:space="preserve">4049193079680</t>
  </si>
  <si>
    <t xml:space="preserve">€ 84,05</t>
  </si>
  <si>
    <t xml:space="preserve">0716076</t>
  </si>
  <si>
    <t xml:space="preserve">4049193079697</t>
  </si>
  <si>
    <t xml:space="preserve">0716077</t>
  </si>
  <si>
    <t xml:space="preserve">4049193079727</t>
  </si>
  <si>
    <t xml:space="preserve">€ 124,90</t>
  </si>
  <si>
    <t xml:space="preserve">0716078</t>
  </si>
  <si>
    <t xml:space="preserve">4049193079758</t>
  </si>
  <si>
    <t xml:space="preserve">€ 191,30</t>
  </si>
  <si>
    <t xml:space="preserve">0716081</t>
  </si>
  <si>
    <t xml:space="preserve">8713645046228</t>
  </si>
  <si>
    <t xml:space="preserve">Rolux Flex Trekbeveiligingsclip metaal 80 op star</t>
  </si>
  <si>
    <t xml:space="preserve">0716083</t>
  </si>
  <si>
    <t xml:space="preserve">8713645237145</t>
  </si>
  <si>
    <t xml:space="preserve">Rolux Flex Afstandhouder KS 80 6 stuks</t>
  </si>
  <si>
    <t xml:space="preserve">€ 32,65</t>
  </si>
  <si>
    <t xml:space="preserve">0716086</t>
  </si>
  <si>
    <t xml:space="preserve">4049193014537</t>
  </si>
  <si>
    <t xml:space="preserve">Rolux Flex Koppelstuk Flex/Flex-80 PP 80 transparant</t>
  </si>
  <si>
    <t xml:space="preserve">0716104</t>
  </si>
  <si>
    <t xml:space="preserve">8713645118123</t>
  </si>
  <si>
    <t xml:space="preserve">Muurplaat Schachtaansluiting KS 80/125 wit</t>
  </si>
  <si>
    <t xml:space="preserve">€ 18,45</t>
  </si>
  <si>
    <t xml:space="preserve">0716105</t>
  </si>
  <si>
    <t xml:space="preserve">8713645213309</t>
  </si>
  <si>
    <t xml:space="preserve">Rolux Flex Muurplaat Schachtaansluiting KS 80/125 wit</t>
  </si>
  <si>
    <t xml:space="preserve">0716106</t>
  </si>
  <si>
    <t xml:space="preserve">8713645213828</t>
  </si>
  <si>
    <t xml:space="preserve">Muurplaat met geïntegreerde aansluiting 80-80</t>
  </si>
  <si>
    <t xml:space="preserve">€ 24,10</t>
  </si>
  <si>
    <t xml:space="preserve">0716300</t>
  </si>
  <si>
    <t xml:space="preserve">8713645027548</t>
  </si>
  <si>
    <t xml:space="preserve">Schoorsteenopstand KS voor Rolux Flex 80 zwart</t>
  </si>
  <si>
    <t xml:space="preserve">€ 63,25</t>
  </si>
  <si>
    <t xml:space="preserve">0716310</t>
  </si>
  <si>
    <t xml:space="preserve">8713645058429</t>
  </si>
  <si>
    <t xml:space="preserve">Rolux Flex Schoorsteenkap met grespotaansluiting KS 80 zwart</t>
  </si>
  <si>
    <t xml:space="preserve">0717133</t>
  </si>
  <si>
    <t xml:space="preserve">8713645027685</t>
  </si>
  <si>
    <t xml:space="preserve">Rolux Flex Montagehulp 80</t>
  </si>
  <si>
    <t xml:space="preserve">€ 102,05</t>
  </si>
  <si>
    <t xml:space="preserve">0717135</t>
  </si>
  <si>
    <t xml:space="preserve">8713645027654</t>
  </si>
  <si>
    <t xml:space="preserve">Rolux Flex Koppelstuk Flex/mof-80 PP 80 transparant</t>
  </si>
  <si>
    <t xml:space="preserve">€ 48,85</t>
  </si>
  <si>
    <t xml:space="preserve">0717999</t>
  </si>
  <si>
    <t xml:space="preserve">8713645064772</t>
  </si>
  <si>
    <t xml:space="preserve">Schoorsteenafdekking KS 110 zwart voor Rolux Flex</t>
  </si>
  <si>
    <t xml:space="preserve">€ 75,10</t>
  </si>
  <si>
    <t xml:space="preserve">0718000</t>
  </si>
  <si>
    <t xml:space="preserve">8713645064789</t>
  </si>
  <si>
    <t xml:space="preserve">Schoorsteenopstand PP/RVS 125</t>
  </si>
  <si>
    <t xml:space="preserve">€ 285,25</t>
  </si>
  <si>
    <t xml:space="preserve">0718001</t>
  </si>
  <si>
    <t xml:space="preserve">8713645064796</t>
  </si>
  <si>
    <t xml:space="preserve">Schoorsteenopstand PP/RVS 160</t>
  </si>
  <si>
    <t xml:space="preserve">€ 308,10</t>
  </si>
  <si>
    <t xml:space="preserve">0718002</t>
  </si>
  <si>
    <t xml:space="preserve">4049193044800</t>
  </si>
  <si>
    <t xml:space="preserve">Schoorsteenopstand PP/RVS 200</t>
  </si>
  <si>
    <t xml:space="preserve">€ 284,25</t>
  </si>
  <si>
    <t xml:space="preserve">0718003</t>
  </si>
  <si>
    <t xml:space="preserve">8713645064819</t>
  </si>
  <si>
    <t xml:space="preserve">Schoorsteenopstand PP/RVS 250</t>
  </si>
  <si>
    <t xml:space="preserve">€ 357,85</t>
  </si>
  <si>
    <t xml:space="preserve">0718009</t>
  </si>
  <si>
    <t xml:space="preserve">8713645064895</t>
  </si>
  <si>
    <t xml:space="preserve">Afstandhouder KS 110 6 stuks</t>
  </si>
  <si>
    <t xml:space="preserve">€ 35,50</t>
  </si>
  <si>
    <t xml:space="preserve">0718010</t>
  </si>
  <si>
    <t xml:space="preserve">8713645064901</t>
  </si>
  <si>
    <t xml:space="preserve">Afstandhouder KS 125 6 stuks</t>
  </si>
  <si>
    <t xml:space="preserve">€ 30,80</t>
  </si>
  <si>
    <t xml:space="preserve">0718011</t>
  </si>
  <si>
    <t xml:space="preserve">8713645064918</t>
  </si>
  <si>
    <t xml:space="preserve">Afstandhouder KS 160 6 stuks</t>
  </si>
  <si>
    <t xml:space="preserve">€ 50,15</t>
  </si>
  <si>
    <t xml:space="preserve">0718012</t>
  </si>
  <si>
    <t xml:space="preserve">8713645064925</t>
  </si>
  <si>
    <t xml:space="preserve">Afstandhouder RVS 200</t>
  </si>
  <si>
    <t xml:space="preserve">€ 27,35</t>
  </si>
  <si>
    <t xml:space="preserve">0718013</t>
  </si>
  <si>
    <t xml:space="preserve">8713645064932</t>
  </si>
  <si>
    <t xml:space="preserve">Afstandhouder RVS 250</t>
  </si>
  <si>
    <t xml:space="preserve">€ 34,60</t>
  </si>
  <si>
    <t xml:space="preserve">0718015</t>
  </si>
  <si>
    <t xml:space="preserve">8713645116235</t>
  </si>
  <si>
    <t xml:space="preserve">Verloop PP 80-60 spie-mof transparant</t>
  </si>
  <si>
    <t xml:space="preserve">€ 29,95</t>
  </si>
  <si>
    <t xml:space="preserve">0718019</t>
  </si>
  <si>
    <t xml:space="preserve">8713645064956</t>
  </si>
  <si>
    <t xml:space="preserve">Verloop PP 80-110 spie-mof transparant</t>
  </si>
  <si>
    <t xml:space="preserve">0718020</t>
  </si>
  <si>
    <t xml:space="preserve">8713645064963</t>
  </si>
  <si>
    <t xml:space="preserve">Verloop PP 100-110 spie-mof transparant</t>
  </si>
  <si>
    <t xml:space="preserve">€ 28,40</t>
  </si>
  <si>
    <t xml:space="preserve">0718021</t>
  </si>
  <si>
    <t xml:space="preserve">8713645064970</t>
  </si>
  <si>
    <t xml:space="preserve">Verloop PP 110-125 spie-mof transparant</t>
  </si>
  <si>
    <t xml:space="preserve">0718022</t>
  </si>
  <si>
    <t xml:space="preserve">8713645064987</t>
  </si>
  <si>
    <t xml:space="preserve">Verloop PP 125-160 spie-mof transparant</t>
  </si>
  <si>
    <t xml:space="preserve">€ 72,05</t>
  </si>
  <si>
    <t xml:space="preserve">0718023</t>
  </si>
  <si>
    <t xml:space="preserve">8713645064994</t>
  </si>
  <si>
    <t xml:space="preserve">Verloop PP 160-200 spie-mof transparant</t>
  </si>
  <si>
    <t xml:space="preserve">€ 129,75</t>
  </si>
  <si>
    <t xml:space="preserve">0718024</t>
  </si>
  <si>
    <t xml:space="preserve">8713645065007</t>
  </si>
  <si>
    <t xml:space="preserve">Verloop PP 200-250 spie-mof transparant</t>
  </si>
  <si>
    <t xml:space="preserve">€ 182,40</t>
  </si>
  <si>
    <t xml:space="preserve">0718025</t>
  </si>
  <si>
    <t xml:space="preserve">8713645123400</t>
  </si>
  <si>
    <t xml:space="preserve">Verloop PP 110-160 spie-mof transparant</t>
  </si>
  <si>
    <t xml:space="preserve">0718026</t>
  </si>
  <si>
    <t xml:space="preserve">4049193002978</t>
  </si>
  <si>
    <t xml:space="preserve">Verloop PP 150-160 spie-mof transparant</t>
  </si>
  <si>
    <t xml:space="preserve">€ 150,55</t>
  </si>
  <si>
    <t xml:space="preserve">0718029</t>
  </si>
  <si>
    <t xml:space="preserve">8713645065014</t>
  </si>
  <si>
    <t xml:space="preserve">Bocht 87° met schoorsteensteun PP 110 transparant</t>
  </si>
  <si>
    <t xml:space="preserve">0718030</t>
  </si>
  <si>
    <t xml:space="preserve">8713645065021</t>
  </si>
  <si>
    <t xml:space="preserve">Bocht 87° met schoorsteensteun PP 125 transparant</t>
  </si>
  <si>
    <t xml:space="preserve">€ 87,60</t>
  </si>
  <si>
    <t xml:space="preserve">0718031</t>
  </si>
  <si>
    <t xml:space="preserve">8713645065038</t>
  </si>
  <si>
    <t xml:space="preserve">Bocht 87° met schoorsteensteun PP 160 transparant</t>
  </si>
  <si>
    <t xml:space="preserve">€ 112,55</t>
  </si>
  <si>
    <t xml:space="preserve">0718032</t>
  </si>
  <si>
    <t xml:space="preserve">4049193068400</t>
  </si>
  <si>
    <t xml:space="preserve">Bocht 87° met schoorsteensteun PP 200 transparant</t>
  </si>
  <si>
    <t xml:space="preserve">€ 301,00</t>
  </si>
  <si>
    <t xml:space="preserve">0718033</t>
  </si>
  <si>
    <t xml:space="preserve">8713645065052</t>
  </si>
  <si>
    <t xml:space="preserve">Bocht 87° met schoorsteensteun PP 250 transparant</t>
  </si>
  <si>
    <t xml:space="preserve">€ 495,65</t>
  </si>
  <si>
    <t xml:space="preserve">0718054</t>
  </si>
  <si>
    <t xml:space="preserve">8713645124193</t>
  </si>
  <si>
    <t xml:space="preserve">Bocht 87° met schoorsteensteun vlakke wand PP 80 transparant</t>
  </si>
  <si>
    <t xml:space="preserve">€ 52,55</t>
  </si>
  <si>
    <t xml:space="preserve">0718055</t>
  </si>
  <si>
    <t xml:space="preserve">4049193052331</t>
  </si>
  <si>
    <t xml:space="preserve">Condensopvang verticaal PP spie-100/mof-110 transparant</t>
  </si>
  <si>
    <t xml:space="preserve">€ 46,60</t>
  </si>
  <si>
    <t xml:space="preserve">0718064</t>
  </si>
  <si>
    <t xml:space="preserve">8713645065212</t>
  </si>
  <si>
    <t xml:space="preserve">Rolux Cascade Collector PP 110-110 transparant</t>
  </si>
  <si>
    <t xml:space="preserve">€ 107,20</t>
  </si>
  <si>
    <t xml:space="preserve">0718065</t>
  </si>
  <si>
    <t xml:space="preserve">8713645065229</t>
  </si>
  <si>
    <t xml:space="preserve">Rolux Cascade Collector PP 125-110 transparant</t>
  </si>
  <si>
    <t xml:space="preserve">€ 113,85</t>
  </si>
  <si>
    <t xml:space="preserve">0718066</t>
  </si>
  <si>
    <t xml:space="preserve">8713645065236</t>
  </si>
  <si>
    <t xml:space="preserve">Rolux Cascade Collector PP 160-110 transparant</t>
  </si>
  <si>
    <t xml:space="preserve">€ 137,60</t>
  </si>
  <si>
    <t xml:space="preserve">0718067</t>
  </si>
  <si>
    <t xml:space="preserve">8713645065243</t>
  </si>
  <si>
    <t xml:space="preserve">Rolux Cascade Collector PP 200-110 transparant</t>
  </si>
  <si>
    <t xml:space="preserve">€ 169,25</t>
  </si>
  <si>
    <t xml:space="preserve">0718069</t>
  </si>
  <si>
    <t xml:space="preserve">8713645069272</t>
  </si>
  <si>
    <t xml:space="preserve">Rolux Cascade Collector PP 250-110 transparant</t>
  </si>
  <si>
    <t xml:space="preserve">€ 220,20</t>
  </si>
  <si>
    <t xml:space="preserve">0718074</t>
  </si>
  <si>
    <t xml:space="preserve">4049193005320</t>
  </si>
  <si>
    <t xml:space="preserve">Rolux Cascade Collector PP 250-160 transparant</t>
  </si>
  <si>
    <t xml:space="preserve">€ 256,65</t>
  </si>
  <si>
    <t xml:space="preserve">0718076</t>
  </si>
  <si>
    <t xml:space="preserve">4049193068011</t>
  </si>
  <si>
    <t xml:space="preserve">Rolux Cascade Collector PP 200-160 transparant</t>
  </si>
  <si>
    <t xml:space="preserve">€ 187,25</t>
  </si>
  <si>
    <t xml:space="preserve">0718077</t>
  </si>
  <si>
    <t xml:space="preserve">8713645213286</t>
  </si>
  <si>
    <t xml:space="preserve">Rolux Flex Schachtaansluiting trekvast 60</t>
  </si>
  <si>
    <t xml:space="preserve">0718078</t>
  </si>
  <si>
    <t xml:space="preserve">8713645213293</t>
  </si>
  <si>
    <t xml:space="preserve">Rolux Flex Schachtaansluiting trekvast 80</t>
  </si>
  <si>
    <t xml:space="preserve">0718085</t>
  </si>
  <si>
    <t xml:space="preserve">8713645145297</t>
  </si>
  <si>
    <t xml:space="preserve">Anti terugstroomadapter PP 80 transparant met waterslot</t>
  </si>
  <si>
    <t xml:space="preserve">€ 132,75</t>
  </si>
  <si>
    <t xml:space="preserve">0718089</t>
  </si>
  <si>
    <t xml:space="preserve">8713645065434</t>
  </si>
  <si>
    <t xml:space="preserve">Rolux Cascade Eindstuk PP 110 met sifon transparant</t>
  </si>
  <si>
    <t xml:space="preserve">€ 194,50</t>
  </si>
  <si>
    <t xml:space="preserve">0718090</t>
  </si>
  <si>
    <t xml:space="preserve">8713645065441</t>
  </si>
  <si>
    <t xml:space="preserve">Rolux Cascade Eindstuk PP 125 met sifon transparant</t>
  </si>
  <si>
    <t xml:space="preserve">€ 211,60</t>
  </si>
  <si>
    <t xml:space="preserve">0718091</t>
  </si>
  <si>
    <t xml:space="preserve">8713645065458</t>
  </si>
  <si>
    <t xml:space="preserve">Rolux Cascade Eindstuk PP 160 met sifon transparant</t>
  </si>
  <si>
    <t xml:space="preserve">€ 327,25</t>
  </si>
  <si>
    <t xml:space="preserve">0718092</t>
  </si>
  <si>
    <t xml:space="preserve">8713645065465</t>
  </si>
  <si>
    <t xml:space="preserve">Rolux Cascade Eindstuk PP 200 met sifon transparant</t>
  </si>
  <si>
    <t xml:space="preserve">€ 341,55</t>
  </si>
  <si>
    <t xml:space="preserve">0718093</t>
  </si>
  <si>
    <t xml:space="preserve">8713645065472</t>
  </si>
  <si>
    <t xml:space="preserve">Rolux Cascade Eindstuk PP 250 met sifon transparant</t>
  </si>
  <si>
    <t xml:space="preserve">€ 389,00</t>
  </si>
  <si>
    <t xml:space="preserve">0718095</t>
  </si>
  <si>
    <t xml:space="preserve">8713645121147</t>
  </si>
  <si>
    <t xml:space="preserve">Rolux half CLV Ketelaansluitleiding PP 80 530mm met vergrendeling</t>
  </si>
  <si>
    <t xml:space="preserve">€ 60,55</t>
  </si>
  <si>
    <t xml:space="preserve">0718096</t>
  </si>
  <si>
    <t xml:space="preserve">8713645139586</t>
  </si>
  <si>
    <t xml:space="preserve">Rolux CLV Ondersteuningsframe metaal 125/200 en 160/250</t>
  </si>
  <si>
    <t xml:space="preserve">€ 141,60</t>
  </si>
  <si>
    <t xml:space="preserve">0718100</t>
  </si>
  <si>
    <t xml:space="preserve">8713645065496</t>
  </si>
  <si>
    <t xml:space="preserve">Verlengbuis PP 110 250mm transparant</t>
  </si>
  <si>
    <t xml:space="preserve">€ 18,75</t>
  </si>
  <si>
    <t xml:space="preserve">0718101</t>
  </si>
  <si>
    <t xml:space="preserve">8713645065502</t>
  </si>
  <si>
    <t xml:space="preserve">Verlengbuis PP 110 500mm transparant</t>
  </si>
  <si>
    <t xml:space="preserve">0718102</t>
  </si>
  <si>
    <t xml:space="preserve">8713645065519</t>
  </si>
  <si>
    <t xml:space="preserve">Verlengbuis PP 110 1000mm transparant</t>
  </si>
  <si>
    <t xml:space="preserve">0718103</t>
  </si>
  <si>
    <t xml:space="preserve">8713645065526</t>
  </si>
  <si>
    <t xml:space="preserve">Verlengbuis PP 110 2000mm transparant</t>
  </si>
  <si>
    <t xml:space="preserve">€ 49,40</t>
  </si>
  <si>
    <t xml:space="preserve">0718105</t>
  </si>
  <si>
    <t xml:space="preserve">4049193009595</t>
  </si>
  <si>
    <t xml:space="preserve">Verlengbuis PP 80 250mm met meetpunt transparant</t>
  </si>
  <si>
    <t xml:space="preserve">€ 13,80</t>
  </si>
  <si>
    <t xml:space="preserve">0718111</t>
  </si>
  <si>
    <t xml:space="preserve">8713645065540</t>
  </si>
  <si>
    <t xml:space="preserve">Verlengbuis PP 125 500mm transparant</t>
  </si>
  <si>
    <t xml:space="preserve">0718112</t>
  </si>
  <si>
    <t xml:space="preserve">8713645065557</t>
  </si>
  <si>
    <t xml:space="preserve">Verlengbuis PP 125 1000mm transparant</t>
  </si>
  <si>
    <t xml:space="preserve">0718113</t>
  </si>
  <si>
    <t xml:space="preserve">8713645065564</t>
  </si>
  <si>
    <t xml:space="preserve">Verlengbuis PP 125 2000mm transparant</t>
  </si>
  <si>
    <t xml:space="preserve">€ 63,30</t>
  </si>
  <si>
    <t xml:space="preserve">0718121</t>
  </si>
  <si>
    <t xml:space="preserve">8713645065588</t>
  </si>
  <si>
    <t xml:space="preserve">Verlengbuis PP 160 500mm transparant</t>
  </si>
  <si>
    <t xml:space="preserve">€ 39,70</t>
  </si>
  <si>
    <t xml:space="preserve">0718122</t>
  </si>
  <si>
    <t xml:space="preserve">8713645065595</t>
  </si>
  <si>
    <t xml:space="preserve">Verlengbuis PP 160 1000mm transparant</t>
  </si>
  <si>
    <t xml:space="preserve">€ 63,80</t>
  </si>
  <si>
    <t xml:space="preserve">0718123</t>
  </si>
  <si>
    <t xml:space="preserve">8713645065601</t>
  </si>
  <si>
    <t xml:space="preserve">Verlengbuis PP 160 2000mm transparant</t>
  </si>
  <si>
    <t xml:space="preserve">€ 105,15</t>
  </si>
  <si>
    <t xml:space="preserve">0718125</t>
  </si>
  <si>
    <t xml:space="preserve">8713645222103</t>
  </si>
  <si>
    <t xml:space="preserve">Rolux ProTect Brandwerende Schachtafsluiting Set 80-80</t>
  </si>
  <si>
    <t xml:space="preserve">€ 188,00</t>
  </si>
  <si>
    <t xml:space="preserve">0718126</t>
  </si>
  <si>
    <t xml:space="preserve">8713645222110</t>
  </si>
  <si>
    <t xml:space="preserve">Rolux ProTect Brandwerende Schachtafsluiting Set 60-100</t>
  </si>
  <si>
    <t xml:space="preserve">€ 152,85</t>
  </si>
  <si>
    <t xml:space="preserve">0718127</t>
  </si>
  <si>
    <t xml:space="preserve">8713645222127</t>
  </si>
  <si>
    <t xml:space="preserve">Rolux ProTect Brandwerende Schachtafsluiting Set 80-125</t>
  </si>
  <si>
    <t xml:space="preserve">€ 168,50</t>
  </si>
  <si>
    <t xml:space="preserve">0718131</t>
  </si>
  <si>
    <t xml:space="preserve">8713645065625</t>
  </si>
  <si>
    <t xml:space="preserve">Verlengbuis PP 200 500mm transparant</t>
  </si>
  <si>
    <t xml:space="preserve">€ 69,70</t>
  </si>
  <si>
    <t xml:space="preserve">0718132</t>
  </si>
  <si>
    <t xml:space="preserve">8713645065632</t>
  </si>
  <si>
    <t xml:space="preserve">Verlengbuis PP 200 1000mm transparant</t>
  </si>
  <si>
    <t xml:space="preserve">€ 94,75</t>
  </si>
  <si>
    <t xml:space="preserve">0718133</t>
  </si>
  <si>
    <t xml:space="preserve">8713645065649</t>
  </si>
  <si>
    <t xml:space="preserve">Verlengbuis PP 200 2000mm transparant</t>
  </si>
  <si>
    <t xml:space="preserve">€ 150,45</t>
  </si>
  <si>
    <t xml:space="preserve">0718140</t>
  </si>
  <si>
    <t xml:space="preserve">8713645065731</t>
  </si>
  <si>
    <t xml:space="preserve">Bocht 45° PP 110 transparant</t>
  </si>
  <si>
    <t xml:space="preserve">€ 14,95</t>
  </si>
  <si>
    <t xml:space="preserve">0718141</t>
  </si>
  <si>
    <t xml:space="preserve">8713645065748</t>
  </si>
  <si>
    <t xml:space="preserve">Bocht 87° PP 110 transparant</t>
  </si>
  <si>
    <t xml:space="preserve">0718142</t>
  </si>
  <si>
    <t xml:space="preserve">8713645096674</t>
  </si>
  <si>
    <t xml:space="preserve">Bocht 15° PP 110 transparant</t>
  </si>
  <si>
    <t xml:space="preserve">0718143</t>
  </si>
  <si>
    <t xml:space="preserve">8713645096681</t>
  </si>
  <si>
    <t xml:space="preserve">Bocht 30° PP 110 transparant</t>
  </si>
  <si>
    <t xml:space="preserve">0718150</t>
  </si>
  <si>
    <t xml:space="preserve">8713645065755</t>
  </si>
  <si>
    <t xml:space="preserve">Bocht 45° PP 125 transparant</t>
  </si>
  <si>
    <t xml:space="preserve">€ 25,60</t>
  </si>
  <si>
    <t xml:space="preserve">0718151</t>
  </si>
  <si>
    <t xml:space="preserve">8713645065762</t>
  </si>
  <si>
    <t xml:space="preserve">Bocht 87° PP 125 transparant</t>
  </si>
  <si>
    <t xml:space="preserve">€ 27,55</t>
  </si>
  <si>
    <t xml:space="preserve">0718160</t>
  </si>
  <si>
    <t xml:space="preserve">8713645065779</t>
  </si>
  <si>
    <t xml:space="preserve">Bocht 45° PP 160 transparant</t>
  </si>
  <si>
    <t xml:space="preserve">€ 43,95</t>
  </si>
  <si>
    <t xml:space="preserve">0718161</t>
  </si>
  <si>
    <t xml:space="preserve">8713645065786</t>
  </si>
  <si>
    <t xml:space="preserve">Bocht 87° PP 160 transparant</t>
  </si>
  <si>
    <t xml:space="preserve">0718170</t>
  </si>
  <si>
    <t xml:space="preserve">4049193067106</t>
  </si>
  <si>
    <t xml:space="preserve">Bocht 45° PP 200 transparant</t>
  </si>
  <si>
    <t xml:space="preserve">€ 147,30</t>
  </si>
  <si>
    <t xml:space="preserve">0718171</t>
  </si>
  <si>
    <t xml:space="preserve">4049193067168</t>
  </si>
  <si>
    <t xml:space="preserve">Bocht 87° PP 200 transparant</t>
  </si>
  <si>
    <t xml:space="preserve">€ 172,65</t>
  </si>
  <si>
    <t xml:space="preserve">0718180</t>
  </si>
  <si>
    <t xml:space="preserve">8713645065816</t>
  </si>
  <si>
    <t xml:space="preserve">Bocht 45° PP 250 transparant</t>
  </si>
  <si>
    <t xml:space="preserve">€ 228,55</t>
  </si>
  <si>
    <t xml:space="preserve">0718181</t>
  </si>
  <si>
    <t xml:space="preserve">8713645065823</t>
  </si>
  <si>
    <t xml:space="preserve">Bocht 87° PP 250 transparant</t>
  </si>
  <si>
    <t xml:space="preserve">€ 268,45</t>
  </si>
  <si>
    <t xml:space="preserve">0718201</t>
  </si>
  <si>
    <t xml:space="preserve">8713645065663</t>
  </si>
  <si>
    <t xml:space="preserve">Verlengbuis PP 250 500mm transparant</t>
  </si>
  <si>
    <t xml:space="preserve">€ 121,20</t>
  </si>
  <si>
    <t xml:space="preserve">0718210</t>
  </si>
  <si>
    <t xml:space="preserve">8713645065670</t>
  </si>
  <si>
    <t xml:space="preserve">Verlengbuis PP 250 1000mm transparant</t>
  </si>
  <si>
    <t xml:space="preserve">€ 167,35</t>
  </si>
  <si>
    <t xml:space="preserve">0718211</t>
  </si>
  <si>
    <t xml:space="preserve">8713645065687</t>
  </si>
  <si>
    <t xml:space="preserve">Verlengbuis PP 250 2000mm transparant</t>
  </si>
  <si>
    <t xml:space="preserve">€ 259,25</t>
  </si>
  <si>
    <t xml:space="preserve">0718240</t>
  </si>
  <si>
    <t xml:space="preserve">4049193067960</t>
  </si>
  <si>
    <t xml:space="preserve">Rolux Cascade Collector PP 200-2x110 transparant</t>
  </si>
  <si>
    <t xml:space="preserve">€ 254,15</t>
  </si>
  <si>
    <t xml:space="preserve">0718241</t>
  </si>
  <si>
    <t xml:space="preserve">4049193067984</t>
  </si>
  <si>
    <t xml:space="preserve">Rolux Cascade Collector PP 200-4x110 transparant</t>
  </si>
  <si>
    <t xml:space="preserve">0718242</t>
  </si>
  <si>
    <t xml:space="preserve">4049193061517</t>
  </si>
  <si>
    <t xml:space="preserve">Rolux Cascade Collector PP 250-4x110 transparant</t>
  </si>
  <si>
    <t xml:space="preserve">€ 372,90</t>
  </si>
  <si>
    <t xml:space="preserve">0718584</t>
  </si>
  <si>
    <t xml:space="preserve">8713645123691</t>
  </si>
  <si>
    <t xml:space="preserve">Plakplaat RVS Dakdoorvoer 160/225</t>
  </si>
  <si>
    <t xml:space="preserve">€ 156,35</t>
  </si>
  <si>
    <t xml:space="preserve">0718587</t>
  </si>
  <si>
    <t xml:space="preserve">8713645123769</t>
  </si>
  <si>
    <t xml:space="preserve">Rolux Cascade Dakdoorvoer Basisdeel 250/350</t>
  </si>
  <si>
    <t xml:space="preserve">€ 495,50</t>
  </si>
  <si>
    <t xml:space="preserve">0718588</t>
  </si>
  <si>
    <t xml:space="preserve">8713645123783</t>
  </si>
  <si>
    <t xml:space="preserve">Topsectie 250/350</t>
  </si>
  <si>
    <t xml:space="preserve">€ 200,60</t>
  </si>
  <si>
    <t xml:space="preserve">0718589</t>
  </si>
  <si>
    <t xml:space="preserve">8713645123806</t>
  </si>
  <si>
    <t xml:space="preserve">Luchtinlaatkorf 80/125 wit</t>
  </si>
  <si>
    <t xml:space="preserve">€ 26,65</t>
  </si>
  <si>
    <t xml:space="preserve">0718590</t>
  </si>
  <si>
    <t xml:space="preserve">8713645123813</t>
  </si>
  <si>
    <t xml:space="preserve">Luchtinlaatkorf 100/150 wit</t>
  </si>
  <si>
    <t xml:space="preserve">€ 32,95</t>
  </si>
  <si>
    <t xml:space="preserve">0718591</t>
  </si>
  <si>
    <t xml:space="preserve">8713645123820</t>
  </si>
  <si>
    <t xml:space="preserve">Verlengbuis PP 100 250mm transparant</t>
  </si>
  <si>
    <t xml:space="preserve">€ 15,95</t>
  </si>
  <si>
    <t xml:space="preserve">0718592</t>
  </si>
  <si>
    <t xml:space="preserve">8713645123837</t>
  </si>
  <si>
    <t xml:space="preserve">Verlengbuis PP 100 500mm transparant</t>
  </si>
  <si>
    <t xml:space="preserve">€ 20,70</t>
  </si>
  <si>
    <t xml:space="preserve">0718593</t>
  </si>
  <si>
    <t xml:space="preserve">8713645123851</t>
  </si>
  <si>
    <t xml:space="preserve">Verlengbuis PP 100 1000mm transparant</t>
  </si>
  <si>
    <t xml:space="preserve">€ 26,25</t>
  </si>
  <si>
    <t xml:space="preserve">0718594</t>
  </si>
  <si>
    <t xml:space="preserve">8713645123868</t>
  </si>
  <si>
    <t xml:space="preserve">Verlengbuis PP 100 2000mm transparant</t>
  </si>
  <si>
    <t xml:space="preserve">€ 42,00</t>
  </si>
  <si>
    <t xml:space="preserve">0718595</t>
  </si>
  <si>
    <t xml:space="preserve">8713645123875</t>
  </si>
  <si>
    <t xml:space="preserve">Bocht 45° PP 100 transparant</t>
  </si>
  <si>
    <t xml:space="preserve">0718596</t>
  </si>
  <si>
    <t xml:space="preserve">8713645123882</t>
  </si>
  <si>
    <t xml:space="preserve">Bocht 87° PP 100 transparant</t>
  </si>
  <si>
    <t xml:space="preserve">0718597</t>
  </si>
  <si>
    <t xml:space="preserve">4049193002961</t>
  </si>
  <si>
    <t xml:space="preserve">Condensopvang verticaal PP 80 transparant</t>
  </si>
  <si>
    <t xml:space="preserve">€ 45,15</t>
  </si>
  <si>
    <t xml:space="preserve">0718598</t>
  </si>
  <si>
    <t xml:space="preserve">8713645123936</t>
  </si>
  <si>
    <t xml:space="preserve">Plakplaat ALU Dakdoorvoer 125/185</t>
  </si>
  <si>
    <t xml:space="preserve">€ 79,85</t>
  </si>
  <si>
    <t xml:space="preserve">0718599</t>
  </si>
  <si>
    <t xml:space="preserve">8713645123943</t>
  </si>
  <si>
    <t xml:space="preserve">Plakplaat RVS Dakdoorvoer 200/300</t>
  </si>
  <si>
    <t xml:space="preserve">€ 161,95</t>
  </si>
  <si>
    <t xml:space="preserve">0718600</t>
  </si>
  <si>
    <t xml:space="preserve">8713645123950</t>
  </si>
  <si>
    <t xml:space="preserve">Plakplaat RVS Dakdoorvoer 250/350</t>
  </si>
  <si>
    <t xml:space="preserve">€ 167,55</t>
  </si>
  <si>
    <t xml:space="preserve">0718700</t>
  </si>
  <si>
    <t xml:space="preserve">8713645172194</t>
  </si>
  <si>
    <t xml:space="preserve">Rolux CLV Etage T-stuk PP/metaal 125/200 - 2x80/125 hoek 90°</t>
  </si>
  <si>
    <t xml:space="preserve">€ 257,80</t>
  </si>
  <si>
    <t xml:space="preserve">0718701</t>
  </si>
  <si>
    <t xml:space="preserve">4049193046699</t>
  </si>
  <si>
    <t xml:space="preserve">Rolux CLV Etage T-stuk PP/metaal 125/200 - 1x80/125</t>
  </si>
  <si>
    <t xml:space="preserve">€ 219,05</t>
  </si>
  <si>
    <t xml:space="preserve">0718702</t>
  </si>
  <si>
    <t xml:space="preserve">4049193046712</t>
  </si>
  <si>
    <t xml:space="preserve">Rolux CLV Etage T-stuk PP/metaal 125/200 - 2x80/125 hoek 180°</t>
  </si>
  <si>
    <t xml:space="preserve">€ 265,85</t>
  </si>
  <si>
    <t xml:space="preserve">0718703</t>
  </si>
  <si>
    <t xml:space="preserve">4049193057978</t>
  </si>
  <si>
    <t xml:space="preserve">Rolux CLV Verlengbuis telescopisch PP/metaal 660-1070mm 125/200</t>
  </si>
  <si>
    <t xml:space="preserve">€ 136,10</t>
  </si>
  <si>
    <t xml:space="preserve">0718704</t>
  </si>
  <si>
    <t xml:space="preserve">4049193057930</t>
  </si>
  <si>
    <t xml:space="preserve">Rolux CLV Inspectiestuk PP/metaal 125/200</t>
  </si>
  <si>
    <t xml:space="preserve">€ 138,55</t>
  </si>
  <si>
    <t xml:space="preserve">0718705</t>
  </si>
  <si>
    <t xml:space="preserve">8713645172248</t>
  </si>
  <si>
    <t xml:space="preserve">Rolux CLV Dakdoorvoer PP/metaal 125/200 zwart</t>
  </si>
  <si>
    <t xml:space="preserve">€ 327,60</t>
  </si>
  <si>
    <t xml:space="preserve">0718706</t>
  </si>
  <si>
    <t xml:space="preserve">4049193046781</t>
  </si>
  <si>
    <t xml:space="preserve">Rolux CLV Dakdoorvoer PP/metaal 125/200 terracotta</t>
  </si>
  <si>
    <t xml:space="preserve">€ 323,25</t>
  </si>
  <si>
    <t xml:space="preserve">0718707</t>
  </si>
  <si>
    <t xml:space="preserve">4049193057824</t>
  </si>
  <si>
    <t xml:space="preserve">Rolux CLV Verlengbuis PP/metaal 1000mm 125/200</t>
  </si>
  <si>
    <t xml:space="preserve">0718708</t>
  </si>
  <si>
    <t xml:space="preserve">4049193057817</t>
  </si>
  <si>
    <t xml:space="preserve">Rolux CLV Verlengbuis PP/metaal 500mm 125/200</t>
  </si>
  <si>
    <t xml:space="preserve">€ 38,85</t>
  </si>
  <si>
    <t xml:space="preserve">0718709</t>
  </si>
  <si>
    <t xml:space="preserve">4049193057886</t>
  </si>
  <si>
    <t xml:space="preserve">Rolux CLV Bocht 45° PP/metaal 125/200</t>
  </si>
  <si>
    <t xml:space="preserve">€ 114,80</t>
  </si>
  <si>
    <t xml:space="preserve">0718710</t>
  </si>
  <si>
    <t xml:space="preserve">4049193046729</t>
  </si>
  <si>
    <t xml:space="preserve">Rolux CLV Eindstuk PP/metaal 125/200</t>
  </si>
  <si>
    <t xml:space="preserve">€ 146,35</t>
  </si>
  <si>
    <t xml:space="preserve">0718711</t>
  </si>
  <si>
    <t xml:space="preserve">4049193066550</t>
  </si>
  <si>
    <t xml:space="preserve">Rolux CLV Compensator PP/metaal 1100mm 125/200</t>
  </si>
  <si>
    <t xml:space="preserve">€ 96,20</t>
  </si>
  <si>
    <t xml:space="preserve">0718712</t>
  </si>
  <si>
    <t xml:space="preserve">8713645172316</t>
  </si>
  <si>
    <t xml:space="preserve">Rolux CLV Etage T-stuk PP/metaal 160/250-2x80/125 hoek 90°</t>
  </si>
  <si>
    <t xml:space="preserve">€ 331,60</t>
  </si>
  <si>
    <t xml:space="preserve">0718713</t>
  </si>
  <si>
    <t xml:space="preserve">4049193046965</t>
  </si>
  <si>
    <t xml:space="preserve">Rolux CLV Etage T-stuk PP/metaal 160/250-1x80/125</t>
  </si>
  <si>
    <t xml:space="preserve">€ 286,60</t>
  </si>
  <si>
    <t xml:space="preserve">0718714</t>
  </si>
  <si>
    <t xml:space="preserve">4049193046989</t>
  </si>
  <si>
    <t xml:space="preserve">Rolux CLV Etage T-stuk PP/metaal 160/250-2x80/125 hoek 180°</t>
  </si>
  <si>
    <t xml:space="preserve">€ 339,20</t>
  </si>
  <si>
    <t xml:space="preserve">0718715</t>
  </si>
  <si>
    <t xml:space="preserve">4049193047030</t>
  </si>
  <si>
    <t xml:space="preserve">Rolux CLV Verlengbuis telescopisch PP/metaal 160/250 660-1070mm</t>
  </si>
  <si>
    <t xml:space="preserve">€ 194,20</t>
  </si>
  <si>
    <t xml:space="preserve">0718716</t>
  </si>
  <si>
    <t xml:space="preserve">4049193046958</t>
  </si>
  <si>
    <t xml:space="preserve">Rolux CLV Inspectiestuk PP/metaal 160/250</t>
  </si>
  <si>
    <t xml:space="preserve">€ 172,30</t>
  </si>
  <si>
    <t xml:space="preserve">0718717</t>
  </si>
  <si>
    <t xml:space="preserve">8713645172361</t>
  </si>
  <si>
    <t xml:space="preserve">Rolux CLV Dakdoorvoer PP/metaal 160/250 zwart</t>
  </si>
  <si>
    <t xml:space="preserve">€ 390,40</t>
  </si>
  <si>
    <t xml:space="preserve">0718718</t>
  </si>
  <si>
    <t xml:space="preserve">4049193047061</t>
  </si>
  <si>
    <t xml:space="preserve">Rolux CLV Dakdoorvoer PP/metaal 160/250 terracotta</t>
  </si>
  <si>
    <t xml:space="preserve">€ 394,65</t>
  </si>
  <si>
    <t xml:space="preserve">0718719</t>
  </si>
  <si>
    <t xml:space="preserve">8713645172385</t>
  </si>
  <si>
    <t xml:space="preserve">Rolux CLV Verlengbuis PP/metaal 160/250 1000mm</t>
  </si>
  <si>
    <t xml:space="preserve">€ 107,95</t>
  </si>
  <si>
    <t xml:space="preserve">0718720</t>
  </si>
  <si>
    <t xml:space="preserve">4049193047016</t>
  </si>
  <si>
    <t xml:space="preserve">Rolux CLV Verlengbuis PP/metaal 160/250 500mm</t>
  </si>
  <si>
    <t xml:space="preserve">€ 80,00</t>
  </si>
  <si>
    <t xml:space="preserve">0718721</t>
  </si>
  <si>
    <t xml:space="preserve">8713645172408</t>
  </si>
  <si>
    <t xml:space="preserve">Rolux CLV Bocht 45° PP/metaal 160/250</t>
  </si>
  <si>
    <t xml:space="preserve">€ 110,50</t>
  </si>
  <si>
    <t xml:space="preserve">0718722</t>
  </si>
  <si>
    <t xml:space="preserve">4049193046996</t>
  </si>
  <si>
    <t xml:space="preserve">Rolux CLV Eindstuk PP/metaal 160/250</t>
  </si>
  <si>
    <t xml:space="preserve">€ 213,00</t>
  </si>
  <si>
    <t xml:space="preserve">0718723</t>
  </si>
  <si>
    <t xml:space="preserve">4049193046941</t>
  </si>
  <si>
    <t xml:space="preserve">Rolux CLV Compensator PP/metaal 1100mm 160/250</t>
  </si>
  <si>
    <t xml:space="preserve">€ 154,60</t>
  </si>
  <si>
    <t xml:space="preserve">0718726</t>
  </si>
  <si>
    <t xml:space="preserve">4049193058760</t>
  </si>
  <si>
    <t xml:space="preserve">Rolux CLV Stoel metaal 125/200</t>
  </si>
  <si>
    <t xml:space="preserve">€ 86,95</t>
  </si>
  <si>
    <t xml:space="preserve">0718732</t>
  </si>
  <si>
    <t xml:space="preserve">8713645237497</t>
  </si>
  <si>
    <t xml:space="preserve">€ 214,75</t>
  </si>
  <si>
    <t xml:space="preserve">0718733</t>
  </si>
  <si>
    <t xml:space="preserve">8713645237503</t>
  </si>
  <si>
    <t xml:space="preserve">€ 252,75</t>
  </si>
  <si>
    <t xml:space="preserve">0718734</t>
  </si>
  <si>
    <t xml:space="preserve">8713645237510</t>
  </si>
  <si>
    <t xml:space="preserve">€ 260,65</t>
  </si>
  <si>
    <t xml:space="preserve">0718735</t>
  </si>
  <si>
    <t xml:space="preserve">8713645237732</t>
  </si>
  <si>
    <t xml:space="preserve">€ 281,00</t>
  </si>
  <si>
    <t xml:space="preserve">0718736</t>
  </si>
  <si>
    <t xml:space="preserve">8713645237749</t>
  </si>
  <si>
    <t xml:space="preserve">€ 325,10</t>
  </si>
  <si>
    <t xml:space="preserve">0718737</t>
  </si>
  <si>
    <t xml:space="preserve">8713645237756</t>
  </si>
  <si>
    <t xml:space="preserve">€ 332,55</t>
  </si>
  <si>
    <t xml:space="preserve">0718741</t>
  </si>
  <si>
    <t xml:space="preserve">4049193074937</t>
  </si>
  <si>
    <t xml:space="preserve">Rolux CLV Condensschotel 160-250</t>
  </si>
  <si>
    <t xml:space="preserve">€ 142,50</t>
  </si>
  <si>
    <t xml:space="preserve">0718742</t>
  </si>
  <si>
    <t xml:space="preserve">4049193070519</t>
  </si>
  <si>
    <t xml:space="preserve">Rolux CLV Condensschotel 125-200</t>
  </si>
  <si>
    <t xml:space="preserve">€ 90,65</t>
  </si>
  <si>
    <t xml:space="preserve">0718744</t>
  </si>
  <si>
    <t xml:space="preserve">4049193063238</t>
  </si>
  <si>
    <t xml:space="preserve">Rolux Eindstuk t.b.v. condensschotel</t>
  </si>
  <si>
    <t xml:space="preserve">€ 38,95</t>
  </si>
  <si>
    <t xml:space="preserve">0718760</t>
  </si>
  <si>
    <t xml:space="preserve">8713645211077</t>
  </si>
  <si>
    <t xml:space="preserve">Rolux half CLV/Cascade Dakdoorvoer PP/KS 125/166 zwart</t>
  </si>
  <si>
    <t xml:space="preserve">€ 208,45</t>
  </si>
  <si>
    <t xml:space="preserve">0718761</t>
  </si>
  <si>
    <t xml:space="preserve">8713645211091</t>
  </si>
  <si>
    <t xml:space="preserve">Rolux half CLV/Cascade Dakdoorvoer PP/KS 160/200 zwart</t>
  </si>
  <si>
    <t xml:space="preserve">€ 333,75</t>
  </si>
  <si>
    <t xml:space="preserve">0718762</t>
  </si>
  <si>
    <t xml:space="preserve">8713645211114</t>
  </si>
  <si>
    <t xml:space="preserve">Rolux half CLV/Cascade Dakdoorvoer PP/KS 200/250 zwart</t>
  </si>
  <si>
    <t xml:space="preserve">€ 456,70</t>
  </si>
  <si>
    <t xml:space="preserve">0718901</t>
  </si>
  <si>
    <t xml:space="preserve">4049193058937</t>
  </si>
  <si>
    <t xml:space="preserve">Rolux CLV Dak Set Conc PP/metaal 80/130</t>
  </si>
  <si>
    <t xml:space="preserve">€ 375,45</t>
  </si>
  <si>
    <t xml:space="preserve">0718902</t>
  </si>
  <si>
    <t xml:space="preserve">4049193058784</t>
  </si>
  <si>
    <t xml:space="preserve">Rolux CLV Etage Set Conc PP/metaal 80/130</t>
  </si>
  <si>
    <t xml:space="preserve">€ 254,95</t>
  </si>
  <si>
    <t xml:space="preserve">0718903</t>
  </si>
  <si>
    <t xml:space="preserve">4049193058913</t>
  </si>
  <si>
    <t xml:space="preserve">Rolux CLV Etage Ketel Set Conc PP/metaal 80/130</t>
  </si>
  <si>
    <t xml:space="preserve">€ 399,70</t>
  </si>
  <si>
    <t xml:space="preserve">0718904</t>
  </si>
  <si>
    <t xml:space="preserve">4049193057923</t>
  </si>
  <si>
    <t xml:space="preserve">Rolux CLV Basis Set Conc PP/metaal 80/130</t>
  </si>
  <si>
    <t xml:space="preserve">€ 392,30</t>
  </si>
  <si>
    <t xml:space="preserve">0718911</t>
  </si>
  <si>
    <t xml:space="preserve">4049193058821</t>
  </si>
  <si>
    <t xml:space="preserve">Rolux CLV Verlengbuis Conc PP/metaal 80/130 500mm</t>
  </si>
  <si>
    <t xml:space="preserve">0718912</t>
  </si>
  <si>
    <t xml:space="preserve">4049193058838</t>
  </si>
  <si>
    <t xml:space="preserve">Rolux CLV Verlengbuis Conc PP/metaal 80/130 1000mm</t>
  </si>
  <si>
    <t xml:space="preserve">0718913</t>
  </si>
  <si>
    <t xml:space="preserve">4049193058845</t>
  </si>
  <si>
    <t xml:space="preserve">Rolux CLV Bocht 45° PP/metaal 80/130</t>
  </si>
  <si>
    <t xml:space="preserve">€ 64,05</t>
  </si>
  <si>
    <t xml:space="preserve">0718914</t>
  </si>
  <si>
    <t xml:space="preserve">4049193066536</t>
  </si>
  <si>
    <t xml:space="preserve">Rolux CLV Ketelaansluiting Conc 440mm 80/125 met muurplaat</t>
  </si>
  <si>
    <t xml:space="preserve">€ 29,00</t>
  </si>
  <si>
    <t xml:space="preserve">0718915</t>
  </si>
  <si>
    <t xml:space="preserve">4049193059583</t>
  </si>
  <si>
    <t xml:space="preserve">Rolux CLV Inspectiebuis PP/metaal 80/130</t>
  </si>
  <si>
    <t xml:space="preserve">0718916</t>
  </si>
  <si>
    <t xml:space="preserve">4049193068608</t>
  </si>
  <si>
    <t xml:space="preserve">Rolux CLV Etage T-stuk Kort PP/metaal 80/130</t>
  </si>
  <si>
    <t xml:space="preserve">0718931</t>
  </si>
  <si>
    <t xml:space="preserve">4049193058395</t>
  </si>
  <si>
    <t xml:space="preserve">Rolux CLV Dak Set Conc PP/metaal 110/160</t>
  </si>
  <si>
    <t xml:space="preserve">€ 434,00</t>
  </si>
  <si>
    <t xml:space="preserve">0718932</t>
  </si>
  <si>
    <t xml:space="preserve">4049193058234</t>
  </si>
  <si>
    <t xml:space="preserve">Rolux CLV Etage Set Conc PP/metaal 110/160</t>
  </si>
  <si>
    <t xml:space="preserve">€ 272,10</t>
  </si>
  <si>
    <t xml:space="preserve">0718933</t>
  </si>
  <si>
    <t xml:space="preserve">4049193058241</t>
  </si>
  <si>
    <t xml:space="preserve">Rolux CLV Ketel Set Conc PP/metaal 110/160</t>
  </si>
  <si>
    <t xml:space="preserve">€ 400,90</t>
  </si>
  <si>
    <t xml:space="preserve">0718934</t>
  </si>
  <si>
    <t xml:space="preserve">4049193066628</t>
  </si>
  <si>
    <t xml:space="preserve">Rolux CLV Basis Set Conc PP/metaal 110/160</t>
  </si>
  <si>
    <t xml:space="preserve">€ 411,45</t>
  </si>
  <si>
    <t xml:space="preserve">0718941</t>
  </si>
  <si>
    <t xml:space="preserve">4049193057794</t>
  </si>
  <si>
    <t xml:space="preserve">Rolux CLV Verlengbuis Conc PP/metaal 110/160 500mm</t>
  </si>
  <si>
    <t xml:space="preserve">0718942</t>
  </si>
  <si>
    <t xml:space="preserve">4049193057800</t>
  </si>
  <si>
    <t xml:space="preserve">Rolux CLV Verlengbuis Conc PP/metaal 110/160 1000mm</t>
  </si>
  <si>
    <t xml:space="preserve">€ 49,35</t>
  </si>
  <si>
    <t xml:space="preserve">0718943</t>
  </si>
  <si>
    <t xml:space="preserve">4049193057879</t>
  </si>
  <si>
    <t xml:space="preserve">Rolux CLV Bocht 45° PP/metaal 110/160</t>
  </si>
  <si>
    <t xml:space="preserve">€ 68,55</t>
  </si>
  <si>
    <t xml:space="preserve">0718945</t>
  </si>
  <si>
    <t xml:space="preserve">4049193057916</t>
  </si>
  <si>
    <t xml:space="preserve">Rolux CLV Inspectiebuis PP/metaal 110/160</t>
  </si>
  <si>
    <t xml:space="preserve">€ 115,35</t>
  </si>
  <si>
    <t xml:space="preserve">0718946</t>
  </si>
  <si>
    <t xml:space="preserve">4049193068622</t>
  </si>
  <si>
    <t xml:space="preserve">Rolux CLV Etage T-stuk Kort PP/metaal 110/160</t>
  </si>
  <si>
    <t xml:space="preserve">€ 134,50</t>
  </si>
  <si>
    <t xml:space="preserve">0720101</t>
  </si>
  <si>
    <t xml:space="preserve">8711465070676</t>
  </si>
  <si>
    <t xml:space="preserve">Dakbeschotbeugel 124 grijs verzinkt</t>
  </si>
  <si>
    <t xml:space="preserve">0746020</t>
  </si>
  <si>
    <t xml:space="preserve">8713645009124</t>
  </si>
  <si>
    <t xml:space="preserve">Rolux CLV Stormkraag RVS 125/200</t>
  </si>
  <si>
    <t xml:space="preserve">€ 44,85</t>
  </si>
  <si>
    <t xml:space="preserve">0746026</t>
  </si>
  <si>
    <t xml:space="preserve">8713645009087</t>
  </si>
  <si>
    <t xml:space="preserve">Rolux CLV/Cascade Plakplaat RVS 125/200 0-10°</t>
  </si>
  <si>
    <t xml:space="preserve">€ 48,35</t>
  </si>
  <si>
    <t xml:space="preserve">0746060</t>
  </si>
  <si>
    <t xml:space="preserve">8713645009834</t>
  </si>
  <si>
    <t xml:space="preserve">Rolux CLV Stormkraag RVS 160/250</t>
  </si>
  <si>
    <t xml:space="preserve">0746066</t>
  </si>
  <si>
    <t xml:space="preserve">8713645009766</t>
  </si>
  <si>
    <t xml:space="preserve">Rolux CLV/Cascade Plakplaat RVS 160/250 0-10°</t>
  </si>
  <si>
    <t xml:space="preserve">8713645131641</t>
  </si>
  <si>
    <t xml:space="preserve">Solar Onderlaag op rol HDPE 1,14m 10m</t>
  </si>
  <si>
    <t xml:space="preserve">€ 240,15</t>
  </si>
  <si>
    <t xml:space="preserve">8713645131658</t>
  </si>
  <si>
    <t xml:space="preserve">Solar Bevestigingsanker ALU</t>
  </si>
  <si>
    <t xml:space="preserve">8713645131870</t>
  </si>
  <si>
    <t xml:space="preserve">Solar Moer zelfborgend M8 RVS</t>
  </si>
  <si>
    <t xml:space="preserve">€ 0,15</t>
  </si>
  <si>
    <t xml:space="preserve">8713645131894</t>
  </si>
  <si>
    <t xml:space="preserve">Solar Verholen goot ALU 1150mm grijs</t>
  </si>
  <si>
    <t xml:space="preserve">€ 15,00</t>
  </si>
  <si>
    <t xml:space="preserve">8713645131900</t>
  </si>
  <si>
    <t xml:space="preserve">Solar Dakhaak RVS</t>
  </si>
  <si>
    <t xml:space="preserve">8713645196510</t>
  </si>
  <si>
    <t xml:space="preserve">Solar Kabeldakdoorvoer pannendak 15-55°</t>
  </si>
  <si>
    <t xml:space="preserve">8713645223117</t>
  </si>
  <si>
    <t xml:space="preserve">Solar Kabel- en Leidingdakdoorvoer pannendak 15-55°</t>
  </si>
  <si>
    <t xml:space="preserve">8713645223124</t>
  </si>
  <si>
    <t xml:space="preserve">Solar Kabel- en Leidingdoorvoer universeel 15-55°</t>
  </si>
  <si>
    <t xml:space="preserve">€ 38,50</t>
  </si>
  <si>
    <t xml:space="preserve">8713645223131</t>
  </si>
  <si>
    <t xml:space="preserve">Solar Kabel- en Leidingdakdoorvoer 0°</t>
  </si>
  <si>
    <t xml:space="preserve">€ 27,20</t>
  </si>
  <si>
    <t xml:space="preserve">8713645228167</t>
  </si>
  <si>
    <t xml:space="preserve">Solar Tussen-, eindklem ALU zwart</t>
  </si>
  <si>
    <t xml:space="preserve">8713645228174</t>
  </si>
  <si>
    <t xml:space="preserve">Solar Tussen-, eindklem ALU</t>
  </si>
  <si>
    <t xml:space="preserve">8713645228181</t>
  </si>
  <si>
    <t xml:space="preserve">Solar Montagerail ALU 3000mm</t>
  </si>
  <si>
    <t xml:space="preserve">€ 25,95</t>
  </si>
  <si>
    <t xml:space="preserve">8713645229270</t>
  </si>
  <si>
    <t xml:space="preserve">Solar Kabel- en Leidingdakdoorvoer 0° geïsoleerd</t>
  </si>
  <si>
    <t xml:space="preserve">8713645182094</t>
  </si>
  <si>
    <t xml:space="preserve">Solar Platdakmontage FRS60</t>
  </si>
  <si>
    <t xml:space="preserve">8713645182100</t>
  </si>
  <si>
    <t xml:space="preserve">Solar Bevestigingsset FRS60</t>
  </si>
  <si>
    <t xml:space="preserve">8713645180854</t>
  </si>
  <si>
    <t xml:space="preserve">Solar Rail montageset 4 stuks</t>
  </si>
  <si>
    <t xml:space="preserve">€ 13,65</t>
  </si>
  <si>
    <t xml:space="preserve">8713645180861</t>
  </si>
  <si>
    <t xml:space="preserve">Solar Schroef RVS 5,0x50mm</t>
  </si>
  <si>
    <t xml:space="preserve">0770520</t>
  </si>
  <si>
    <t xml:space="preserve">8713645223179</t>
  </si>
  <si>
    <t xml:space="preserve">Solar Vogelschroot Zonnepanelen 1000mm 20 stuks</t>
  </si>
  <si>
    <t xml:space="preserve">€ 89,25</t>
  </si>
  <si>
    <t xml:space="preserve">8713645228419</t>
  </si>
  <si>
    <t xml:space="preserve">Solar Vogelschroot 120mm hoek 90° 4 stuks</t>
  </si>
  <si>
    <t xml:space="preserve">€ 13,75</t>
  </si>
  <si>
    <t xml:space="preserve">8713645229942</t>
  </si>
  <si>
    <t xml:space="preserve">Solar Vogelschroot Zonnepanelen 100mm x 1000mm 20 stuks</t>
  </si>
  <si>
    <t xml:space="preserve">€ 87,25</t>
  </si>
  <si>
    <t xml:space="preserve">8713645229959</t>
  </si>
  <si>
    <t xml:space="preserve">Solar Vogelschroot Zonnepanelen 120mm x 1000mm 20 stuks</t>
  </si>
  <si>
    <t xml:space="preserve">8713645229966</t>
  </si>
  <si>
    <t xml:space="preserve">Solar Vogelschroot Zonnepanelen 150mm x 1000mm 20 stuks</t>
  </si>
  <si>
    <t xml:space="preserve">€ 94,70</t>
  </si>
  <si>
    <t xml:space="preserve">8713645229973</t>
  </si>
  <si>
    <t xml:space="preserve">Solar Vogelschroot Zonnepanelen 120mm x 1000mm 500 stuks</t>
  </si>
  <si>
    <t xml:space="preserve">€ 2100,00</t>
  </si>
  <si>
    <t xml:space="preserve">8713645229980</t>
  </si>
  <si>
    <t xml:space="preserve">Solar Vogelschroot 150mm hoek 90° 4 stuks</t>
  </si>
  <si>
    <t xml:space="preserve">0780053</t>
  </si>
  <si>
    <t xml:space="preserve">8713645221939</t>
  </si>
  <si>
    <t xml:space="preserve">Rolux half CLV/Cascade Regenkap Luchttoevoer KS 125mm zwart</t>
  </si>
  <si>
    <t xml:space="preserve">€ 50,95</t>
  </si>
  <si>
    <t xml:space="preserve">0780060</t>
  </si>
  <si>
    <t xml:space="preserve">8713645221946</t>
  </si>
  <si>
    <t xml:space="preserve">Rolux half CLV/Cascade Regenkap Luchttoevoer KS 160mm zwart</t>
  </si>
  <si>
    <t xml:space="preserve">0780061</t>
  </si>
  <si>
    <t xml:space="preserve">8713645221953</t>
  </si>
  <si>
    <t xml:space="preserve">Rolux half CLV/Cascade Regenkap Luchttoevoer KS 200mm zwart</t>
  </si>
  <si>
    <t xml:space="preserve">0801768</t>
  </si>
  <si>
    <t xml:space="preserve">8713645171555</t>
  </si>
  <si>
    <t xml:space="preserve">PE Dakraam Universeel Ubiflex UB 11</t>
  </si>
  <si>
    <t xml:space="preserve">€ 173,70</t>
  </si>
  <si>
    <t xml:space="preserve">0801799</t>
  </si>
  <si>
    <t xml:space="preserve">8713645171531</t>
  </si>
  <si>
    <t xml:space="preserve">PE Dakraam Universeel Ubiflex UB 12</t>
  </si>
  <si>
    <t xml:space="preserve">€ 277,80</t>
  </si>
  <si>
    <t xml:space="preserve">8713645124971</t>
  </si>
  <si>
    <t xml:space="preserve">Solar Schroef met neopreenring RVS 4,5x45mm</t>
  </si>
  <si>
    <t xml:space="preserve">€ 19,00</t>
  </si>
  <si>
    <t xml:space="preserve">89184250</t>
  </si>
  <si>
    <t xml:space="preserve">8713645221182</t>
  </si>
  <si>
    <t xml:space="preserve">Rolux 5G Dakdoorvoer HR Conc PP/KS 60/100 1570mm zwart Bulk</t>
  </si>
  <si>
    <t xml:space="preserve">89184403</t>
  </si>
  <si>
    <t xml:space="preserve">8713645204291</t>
  </si>
  <si>
    <t xml:space="preserve">Rolux 5G Dakdoorvoer HR Par 80-80 PP/KS 80/125 1280mm zwart Bulk</t>
  </si>
  <si>
    <t xml:space="preserve">F060050</t>
  </si>
  <si>
    <t xml:space="preserve">8713645118840</t>
  </si>
  <si>
    <t xml:space="preserve">Multibar Standard+ Folie dampremmend 1,5m x 25m</t>
  </si>
  <si>
    <t xml:space="preserve">€ 52,15</t>
  </si>
  <si>
    <t xml:space="preserve">F060051</t>
  </si>
  <si>
    <t xml:space="preserve">8713645118871</t>
  </si>
  <si>
    <t xml:space="preserve">Multibar Standard+ Folie dampremmend 1,5m x 50m</t>
  </si>
  <si>
    <t xml:space="preserve">€ 104,25</t>
  </si>
  <si>
    <t xml:space="preserve">F060052</t>
  </si>
  <si>
    <t xml:space="preserve">8713645118888</t>
  </si>
  <si>
    <t xml:space="preserve">Multibar Standard+ Folie dampremmend 2m x 50m</t>
  </si>
  <si>
    <t xml:space="preserve">€ 139,00</t>
  </si>
  <si>
    <t xml:space="preserve">F060056</t>
  </si>
  <si>
    <t xml:space="preserve">8713645118925</t>
  </si>
  <si>
    <t xml:space="preserve">Multibar Folie dampdicht ALU 1,5m x 50m</t>
  </si>
  <si>
    <t xml:space="preserve">€ 141,75</t>
  </si>
  <si>
    <t xml:space="preserve">F060058</t>
  </si>
  <si>
    <t xml:space="preserve">8713645118949</t>
  </si>
  <si>
    <t xml:space="preserve">Folie gewapend dampremmend 1,5m x 50m</t>
  </si>
  <si>
    <t xml:space="preserve">€ 75,45</t>
  </si>
  <si>
    <t xml:space="preserve">F060059</t>
  </si>
  <si>
    <t xml:space="preserve">8713645118956</t>
  </si>
  <si>
    <t xml:space="preserve">Folie gewapend dampremmend 2m x 50m</t>
  </si>
  <si>
    <t xml:space="preserve">€ 100,55</t>
  </si>
  <si>
    <t xml:space="preserve">F060100</t>
  </si>
  <si>
    <t xml:space="preserve">8713645118963</t>
  </si>
  <si>
    <t xml:space="preserve">MultiVap Basic Folie waterkerend damp-open 1,5m x 25m</t>
  </si>
  <si>
    <t xml:space="preserve">€ 53,55</t>
  </si>
  <si>
    <t xml:space="preserve">F060101</t>
  </si>
  <si>
    <t xml:space="preserve">8713645118970</t>
  </si>
  <si>
    <t xml:space="preserve">MultiVap Basic Folie waterkerend damp-open 1,5m x 50m</t>
  </si>
  <si>
    <t xml:space="preserve">€ 107,00</t>
  </si>
  <si>
    <t xml:space="preserve">F060102</t>
  </si>
  <si>
    <t xml:space="preserve">8713645118987</t>
  </si>
  <si>
    <t xml:space="preserve">MultiVap Basic Folie waterkerend damp-open 2m x 50m</t>
  </si>
  <si>
    <t xml:space="preserve">€ 142,75</t>
  </si>
  <si>
    <t xml:space="preserve">F060103</t>
  </si>
  <si>
    <t xml:space="preserve">8713645118994</t>
  </si>
  <si>
    <t xml:space="preserve">MultiVap Basic Folie waterkerend damp-open 2,75m x 50m</t>
  </si>
  <si>
    <t xml:space="preserve">€ 196,30</t>
  </si>
  <si>
    <t xml:space="preserve">F060120</t>
  </si>
  <si>
    <t xml:space="preserve">8713645119045</t>
  </si>
  <si>
    <t xml:space="preserve">MultiVap 300 Folie waterdicht damp-open 1,5m x 25m</t>
  </si>
  <si>
    <t xml:space="preserve">€ 92,15</t>
  </si>
  <si>
    <t xml:space="preserve">F060121</t>
  </si>
  <si>
    <t xml:space="preserve">8713645119052</t>
  </si>
  <si>
    <t xml:space="preserve">MultiVap 300 Folie waterdicht damp-open 1,5m x 50m</t>
  </si>
  <si>
    <t xml:space="preserve">€ 184,30</t>
  </si>
  <si>
    <t xml:space="preserve">F060122</t>
  </si>
  <si>
    <t xml:space="preserve">8713645119069</t>
  </si>
  <si>
    <t xml:space="preserve">MultiVap 300 Folie waterdicht damp-open 2,75m x 50m</t>
  </si>
  <si>
    <t xml:space="preserve">€ 337,90</t>
  </si>
  <si>
    <t xml:space="preserve">F060124</t>
  </si>
  <si>
    <t xml:space="preserve">8713645119083</t>
  </si>
  <si>
    <t xml:space="preserve">MultiVap 300 XS Folie waterdicht damp-open 1,5m x 50m</t>
  </si>
  <si>
    <t xml:space="preserve">€ 191,80</t>
  </si>
  <si>
    <t xml:space="preserve">F060129</t>
  </si>
  <si>
    <t xml:space="preserve">8713645177588</t>
  </si>
  <si>
    <t xml:space="preserve">MultiVap uv+ Folie waterdicht damp-open 1,5m x 50m</t>
  </si>
  <si>
    <t xml:space="preserve">€ 381,70</t>
  </si>
  <si>
    <t xml:space="preserve">F060130</t>
  </si>
  <si>
    <t xml:space="preserve">8713645119113</t>
  </si>
  <si>
    <t xml:space="preserve">Folie waterkerend damp-open, gewapend, geperforeerd 1,5m x 50m</t>
  </si>
  <si>
    <t xml:space="preserve">F060131</t>
  </si>
  <si>
    <t xml:space="preserve">8713645119120</t>
  </si>
  <si>
    <t xml:space="preserve">Folie waterkerend damp-open, gewapend, geperforeerd 2m x 50m</t>
  </si>
  <si>
    <t xml:space="preserve">F060140</t>
  </si>
  <si>
    <t xml:space="preserve">8713645119137</t>
  </si>
  <si>
    <t xml:space="preserve">Folie waterdicht damp-open 3-laags Spinvlies 1,5m x 50m</t>
  </si>
  <si>
    <t xml:space="preserve">€ 149,90</t>
  </si>
  <si>
    <t xml:space="preserve">F060255</t>
  </si>
  <si>
    <t xml:space="preserve">8713645120669</t>
  </si>
  <si>
    <t xml:space="preserve">Tape gewapend ALU 72mm x 55m</t>
  </si>
  <si>
    <t xml:space="preserve">€ 25,90</t>
  </si>
  <si>
    <t xml:space="preserve">F060256</t>
  </si>
  <si>
    <t xml:space="preserve">8713645177540</t>
  </si>
  <si>
    <t xml:space="preserve">MultiVap Tape 50mm x 25m</t>
  </si>
  <si>
    <t xml:space="preserve">€ 17,80</t>
  </si>
  <si>
    <t xml:space="preserve">Product informatie</t>
  </si>
  <si>
    <t xml:space="preserve">Waterproef schroeven</t>
  </si>
  <si>
    <t xml:space="preserve">Lengte van een rol</t>
  </si>
  <si>
    <t xml:space="preserve">Bruikbare lengte van een rol</t>
  </si>
  <si>
    <t xml:space="preserve">Totaal marge</t>
  </si>
  <si>
    <t xml:space="preserve">Minimale kniplengte</t>
  </si>
  <si>
    <t xml:space="preserve">Exaxt aantal rollen</t>
  </si>
  <si>
    <t xml:space="preserve">Overlap</t>
  </si>
  <si>
    <t xml:space="preserve">Rollen met marge</t>
  </si>
  <si>
    <t xml:space="preserve">Rolstap</t>
  </si>
  <si>
    <t xml:space="preserve">Complete rol</t>
  </si>
  <si>
    <t xml:space="preserve">Extra lengte per rij van rol</t>
  </si>
  <si>
    <t xml:space="preserve">Lengte voor knippen</t>
  </si>
  <si>
    <t xml:space="preserve">Aantal rollen</t>
  </si>
  <si>
    <t xml:space="preserve">Bouw informatie</t>
  </si>
  <si>
    <t xml:space="preserve">Aantal rollen voor  1 rijlengte</t>
  </si>
  <si>
    <t xml:space="preserve">Lengte rol voor 1 rijlengte</t>
  </si>
  <si>
    <t xml:space="preserve">Bruikbaar restant rollen</t>
  </si>
  <si>
    <t xml:space="preserve">Verlies van vorig gebouw</t>
  </si>
  <si>
    <t xml:space="preserve">Resultaten</t>
  </si>
  <si>
    <t xml:space="preserve">Rij</t>
  </si>
  <si>
    <t xml:space="preserve">Lengte van rij</t>
  </si>
  <si>
    <t xml:space="preserve">Verlies van rij -1</t>
  </si>
  <si>
    <t xml:space="preserve">Aantal overlap</t>
  </si>
  <si>
    <t xml:space="preserve">Lengte van de overlap</t>
  </si>
  <si>
    <t xml:space="preserve">Verlies</t>
  </si>
  <si>
    <t xml:space="preserve">Opdak</t>
  </si>
  <si>
    <t xml:space="preserve">Portrait</t>
  </si>
  <si>
    <t xml:space="preserve">Kleur eindklem</t>
  </si>
  <si>
    <t xml:space="preserve">ALU</t>
  </si>
  <si>
    <t xml:space="preserve">Kleur tussenklem</t>
  </si>
  <si>
    <t xml:space="preserve">Minimaal dakhelling</t>
  </si>
  <si>
    <t xml:space="preserve">Maximaal dakhelling</t>
  </si>
  <si>
    <t xml:space="preserve">Plaat/Paneel</t>
  </si>
  <si>
    <t xml:space="preserve">Plaat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</si>
</sst>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_ &quot;€ &quot;* #,##0.00_ ;_ &quot;€ &quot;* \-#,##0.00_ ;_ &quot;€ &quot;* \-??_ ;_ @_ "/>
    <numFmt numFmtId="167" formatCode="@"/>
    <numFmt numFmtId="168" formatCode="&quot;€ &quot;#,##0.00;[RED]&quot;€ -&quot;#,##0.00"/>
  </numFmts>
  <fonts count="2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rgb="FF000000"/>
      <name val="Century Gothic"/>
      <family val="2"/>
      <charset val="1"/>
    </font>
    <font>
      <b val="true"/>
      <sz val="12"/>
      <color rgb="FFFFFFFF"/>
      <name val="Century Gothic"/>
      <family val="2"/>
      <charset val="1"/>
    </font>
    <font>
      <sz val="11"/>
      <color rgb="FFFFFFFF"/>
      <name val="Century Gothic"/>
      <family val="2"/>
      <charset val="1"/>
    </font>
    <font>
      <b val="true"/>
      <sz val="14"/>
      <color rgb="FF000000"/>
      <name val="Century Gothic"/>
      <family val="2"/>
      <charset val="1"/>
    </font>
    <font>
      <b val="true"/>
      <sz val="14"/>
      <color rgb="FFFFFFFF"/>
      <name val="Century Gothic"/>
      <family val="2"/>
      <charset val="1"/>
    </font>
    <font>
      <b val="true"/>
      <sz val="12"/>
      <name val="Century Gothic"/>
      <family val="2"/>
      <charset val="1"/>
    </font>
    <font>
      <b val="true"/>
      <sz val="11"/>
      <color rgb="FFFFFFFF"/>
      <name val="Century Gothic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0"/>
      <name val="Calibri"/>
      <family val="2"/>
      <charset val="1"/>
    </font>
    <font>
      <sz val="11"/>
      <name val="Calibri"/>
      <family val="2"/>
      <charset val="1"/>
    </font>
    <font>
      <sz val="8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9"/>
      <color rgb="FFFFFFFF"/>
      <name val="Calibri"/>
      <family val="2"/>
      <charset val="1"/>
    </font>
    <font>
      <sz val="10"/>
      <color rgb="FF4D4D4D"/>
      <name val="Calibri"/>
      <family val="2"/>
      <charset val="1"/>
    </font>
    <font>
      <b val="true"/>
      <sz val="10"/>
      <color rgb="FFFFFFFF"/>
      <name val="Century Gothic"/>
      <family val="2"/>
      <charset val="1"/>
    </font>
    <font>
      <b val="true"/>
      <sz val="11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344550"/>
        <bgColor rgb="FF4D4D4D"/>
      </patternFill>
    </fill>
    <fill>
      <patternFill patternType="solid">
        <fgColor rgb="FF818F99"/>
        <bgColor rgb="FF8C939C"/>
      </patternFill>
    </fill>
    <fill>
      <patternFill patternType="solid">
        <fgColor rgb="FFE2001A"/>
        <bgColor rgb="FF800000"/>
      </patternFill>
    </fill>
    <fill>
      <patternFill patternType="solid">
        <fgColor rgb="FFF4777C"/>
        <bgColor rgb="FFFF99CC"/>
      </patternFill>
    </fill>
    <fill>
      <patternFill patternType="solid">
        <fgColor rgb="FFFBD2D3"/>
        <bgColor rgb="FFE5E5E5"/>
      </patternFill>
    </fill>
    <fill>
      <patternFill patternType="solid">
        <fgColor rgb="FFFFC000"/>
        <bgColor rgb="FFFF9900"/>
      </patternFill>
    </fill>
    <fill>
      <patternFill patternType="solid">
        <fgColor rgb="FF8C939C"/>
        <bgColor rgb="FF818F99"/>
      </patternFill>
    </fill>
    <fill>
      <patternFill patternType="solid">
        <fgColor rgb="FF91B0CC"/>
        <bgColor rgb="FF8C939C"/>
      </patternFill>
    </fill>
  </fills>
  <borders count="31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thick"/>
      <right/>
      <top style="thick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>
        <color rgb="FFE5E5E5"/>
      </left>
      <right style="thin">
        <color rgb="FFE5E5E5"/>
      </right>
      <top style="thin">
        <color rgb="FFE5E5E5"/>
      </top>
      <bottom style="thin">
        <color rgb="FFE5E5E5"/>
      </bottom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thin"/>
      <right style="thin"/>
      <top style="thin"/>
      <bottom style="medium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8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5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8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0" fillId="6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5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0" fillId="6" borderId="6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5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9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5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0" fillId="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2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9" borderId="21" xfId="20" applyFont="true" applyBorder="true" applyAlignment="true" applyProtection="false">
      <alignment horizontal="general" vertical="top" textRotation="0" wrapText="true" indent="0" shrinkToFit="false" readingOrder="1"/>
      <protection locked="true" hidden="false"/>
    </xf>
    <xf numFmtId="164" fontId="18" fillId="0" borderId="21" xfId="20" applyFont="true" applyBorder="true" applyAlignment="true" applyProtection="false">
      <alignment horizontal="general" vertical="top" textRotation="0" wrapText="true" indent="0" shrinkToFit="false" readingOrder="1"/>
      <protection locked="true" hidden="false"/>
    </xf>
    <xf numFmtId="168" fontId="18" fillId="0" borderId="21" xfId="20" applyFont="true" applyBorder="true" applyAlignment="true" applyProtection="false">
      <alignment horizontal="general" vertical="top" textRotation="0" wrapText="true" indent="0" shrinkToFit="false" readingOrder="1"/>
      <protection locked="true" hidden="false"/>
    </xf>
    <xf numFmtId="166" fontId="18" fillId="0" borderId="21" xfId="20" applyFont="true" applyBorder="true" applyAlignment="true" applyProtection="false">
      <alignment horizontal="general" vertical="top" textRotation="0" wrapText="true" indent="0" shrinkToFit="false" readingOrder="1"/>
      <protection locked="true" hidden="false"/>
    </xf>
    <xf numFmtId="164" fontId="19" fillId="4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9" fillId="4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4" borderId="2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9" fillId="4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0" fillId="5" borderId="27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0" fillId="5" borderId="2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0" fillId="5" borderId="29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" xfId="20"/>
    <cellStyle name="Standaard 2" xfId="21"/>
  </cellStyles>
  <colors>
    <indexedColors>
      <rgbColor rgb="FF000000"/>
      <rgbColor rgb="FFFFFFFF"/>
      <rgbColor rgb="FFE2001A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18F99"/>
      <rgbColor rgb="FF91B0CC"/>
      <rgbColor rgb="FF993366"/>
      <rgbColor rgb="FFFFFFCC"/>
      <rgbColor rgb="FFCCFFFF"/>
      <rgbColor rgb="FF660066"/>
      <rgbColor rgb="FFF4777C"/>
      <rgbColor rgb="FF0066CC"/>
      <rgbColor rgb="FFE5E5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BD2D3"/>
      <rgbColor rgb="FF3366FF"/>
      <rgbColor rgb="FF33CCCC"/>
      <rgbColor rgb="FF99CC00"/>
      <rgbColor rgb="FFFFC000"/>
      <rgbColor rgb="FFFF9900"/>
      <rgbColor rgb="FFFF6600"/>
      <rgbColor rgb="FF4D4D4D"/>
      <rgbColor rgb="FF8C939C"/>
      <rgbColor rgb="FF003366"/>
      <rgbColor rgb="FF339966"/>
      <rgbColor rgb="FF003300"/>
      <rgbColor rgb="FF333300"/>
      <rgbColor rgb="FF993300"/>
      <rgbColor rgb="FF993366"/>
      <rgbColor rgb="FF333399"/>
      <rgbColor rgb="FF34455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1219320</xdr:colOff>
      <xdr:row>0</xdr:row>
      <xdr:rowOff>76320</xdr:rowOff>
    </xdr:from>
    <xdr:to>
      <xdr:col>5</xdr:col>
      <xdr:colOff>485280</xdr:colOff>
      <xdr:row>2</xdr:row>
      <xdr:rowOff>105480</xdr:rowOff>
    </xdr:to>
    <xdr:pic>
      <xdr:nvPicPr>
        <xdr:cNvPr id="0" name="Afbeelding 1" descr=""/>
        <xdr:cNvPicPr/>
      </xdr:nvPicPr>
      <xdr:blipFill>
        <a:blip r:embed="rId1"/>
        <a:stretch/>
      </xdr:blipFill>
      <xdr:spPr>
        <a:xfrm>
          <a:off x="2800800" y="76320"/>
          <a:ext cx="2260800" cy="41004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I3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23" activeCellId="0" sqref="F23"/>
    </sheetView>
  </sheetViews>
  <sheetFormatPr defaultColWidth="9.1484375" defaultRowHeight="16.5" zeroHeight="false" outlineLevelRow="0" outlineLevelCol="0"/>
  <cols>
    <col collapsed="false" customWidth="true" hidden="false" outlineLevel="0" max="1" min="1" style="1" width="3.14"/>
    <col collapsed="false" customWidth="true" hidden="false" outlineLevel="0" max="2" min="2" style="1" width="25.86"/>
    <col collapsed="false" customWidth="true" hidden="false" outlineLevel="0" max="3" min="3" style="1" width="14.28"/>
    <col collapsed="false" customWidth="true" hidden="false" outlineLevel="0" max="4" min="4" style="1" width="3.14"/>
    <col collapsed="false" customWidth="true" hidden="false" outlineLevel="0" max="5" min="5" style="1" width="36.3"/>
    <col collapsed="false" customWidth="true" hidden="false" outlineLevel="0" max="6" min="6" style="1" width="17.71"/>
    <col collapsed="false" customWidth="true" hidden="false" outlineLevel="0" max="7" min="7" style="1" width="3.14"/>
    <col collapsed="false" customWidth="true" hidden="false" outlineLevel="0" max="8" min="8" style="1" width="32.29"/>
    <col collapsed="false" customWidth="true" hidden="false" outlineLevel="0" max="9" min="9" style="1" width="13.29"/>
    <col collapsed="false" customWidth="false" hidden="false" outlineLevel="0" max="1024" min="10" style="1" width="9.13"/>
  </cols>
  <sheetData>
    <row r="1" customFormat="false" ht="17.25" hidden="false" customHeight="false" outlineLevel="0" collapsed="false"/>
    <row r="2" customFormat="false" ht="16.5" hidden="false" customHeight="false" outlineLevel="0" collapsed="false">
      <c r="B2" s="2" t="s">
        <v>0</v>
      </c>
      <c r="C2" s="3"/>
      <c r="D2" s="3"/>
      <c r="E2" s="3"/>
      <c r="F2" s="3"/>
    </row>
    <row r="3" customFormat="false" ht="16.5" hidden="false" customHeight="false" outlineLevel="0" collapsed="false">
      <c r="B3" s="4" t="s">
        <v>1</v>
      </c>
      <c r="C3" s="5"/>
      <c r="D3" s="5"/>
      <c r="E3" s="5"/>
      <c r="F3" s="5"/>
    </row>
    <row r="4" customFormat="false" ht="17.25" hidden="false" customHeight="false" outlineLevel="0" collapsed="false">
      <c r="B4" s="6" t="s">
        <v>2</v>
      </c>
      <c r="C4" s="7"/>
      <c r="D4" s="7"/>
      <c r="E4" s="7"/>
      <c r="F4" s="7"/>
    </row>
    <row r="5" customFormat="false" ht="17.25" hidden="false" customHeight="false" outlineLevel="0" collapsed="false"/>
    <row r="6" s="8" customFormat="true" ht="18.75" hidden="false" customHeight="false" outlineLevel="0" collapsed="false">
      <c r="B6" s="9" t="s">
        <v>3</v>
      </c>
      <c r="C6" s="9"/>
      <c r="D6" s="10"/>
      <c r="E6" s="9" t="s">
        <v>4</v>
      </c>
      <c r="F6" s="9"/>
      <c r="G6" s="10"/>
      <c r="H6" s="9" t="s">
        <v>5</v>
      </c>
      <c r="I6" s="9"/>
    </row>
    <row r="7" customFormat="false" ht="16.5" hidden="false" customHeight="false" outlineLevel="0" collapsed="false">
      <c r="B7" s="11" t="s">
        <v>6</v>
      </c>
      <c r="C7" s="12" t="s">
        <v>7</v>
      </c>
      <c r="E7" s="13" t="s">
        <v>8</v>
      </c>
      <c r="F7" s="14" t="n">
        <v>3000</v>
      </c>
      <c r="H7" s="13" t="s">
        <v>9</v>
      </c>
      <c r="I7" s="14" t="n">
        <f aca="false">IF(C9="Landscape",(C17*C13+(C17-1)*F10)+2*F9+F12,(C19*C13+((C19-1)*F10)+2*F9+F12))</f>
        <v>6196</v>
      </c>
    </row>
    <row r="8" customFormat="false" ht="16.5" hidden="false" customHeight="false" outlineLevel="0" collapsed="false">
      <c r="B8" s="11"/>
      <c r="C8" s="12"/>
      <c r="E8" s="15" t="s">
        <v>10</v>
      </c>
      <c r="F8" s="16" t="s">
        <v>11</v>
      </c>
      <c r="H8" s="15" t="s">
        <v>12</v>
      </c>
      <c r="I8" s="17" t="n">
        <f aca="false">IF(C9="Landscape",2*C19,2*C17)</f>
        <v>30</v>
      </c>
    </row>
    <row r="9" customFormat="false" ht="16.5" hidden="false" customHeight="false" outlineLevel="0" collapsed="false">
      <c r="B9" s="18" t="s">
        <v>13</v>
      </c>
      <c r="C9" s="19" t="s">
        <v>14</v>
      </c>
      <c r="E9" s="15" t="s">
        <v>15</v>
      </c>
      <c r="F9" s="17" t="n">
        <v>40</v>
      </c>
      <c r="H9" s="15" t="s">
        <v>16</v>
      </c>
      <c r="I9" s="17" t="n">
        <f aca="false">I7*I8</f>
        <v>185880</v>
      </c>
    </row>
    <row r="10" customFormat="false" ht="16.5" hidden="false" customHeight="false" outlineLevel="0" collapsed="false">
      <c r="B10" s="18"/>
      <c r="C10" s="19"/>
      <c r="E10" s="15" t="s">
        <v>17</v>
      </c>
      <c r="F10" s="17" t="n">
        <v>22</v>
      </c>
      <c r="H10" s="15" t="s">
        <v>18</v>
      </c>
      <c r="I10" s="17" t="n">
        <f aca="false">ROUNDUP(I7/F7,0)</f>
        <v>3</v>
      </c>
    </row>
    <row r="11" customFormat="false" ht="16.5" hidden="false" customHeight="true" outlineLevel="0" collapsed="false">
      <c r="B11" s="18" t="s">
        <v>19</v>
      </c>
      <c r="C11" s="19" t="n">
        <v>2000</v>
      </c>
      <c r="E11" s="15" t="s">
        <v>20</v>
      </c>
      <c r="F11" s="17" t="n">
        <v>800</v>
      </c>
      <c r="H11" s="15" t="s">
        <v>21</v>
      </c>
      <c r="I11" s="20" t="n">
        <f aca="false">IF(C9="Landscape",((C19*C11+((C19-1)*F10)+2*F9)-100),I7-100)</f>
        <v>30288</v>
      </c>
    </row>
    <row r="12" customFormat="false" ht="17.25" hidden="false" customHeight="false" outlineLevel="0" collapsed="false">
      <c r="B12" s="18"/>
      <c r="C12" s="19"/>
      <c r="E12" s="21" t="s">
        <v>22</v>
      </c>
      <c r="F12" s="22" t="n">
        <v>50</v>
      </c>
      <c r="H12" s="15" t="s">
        <v>23</v>
      </c>
      <c r="I12" s="17" t="n">
        <f aca="false">IF(C9="Landscape",(C17*C13+((C17-1)*F10)+2*F9),(C17*C11+((C17-1)*F10)+2*F9))</f>
        <v>6146</v>
      </c>
    </row>
    <row r="13" customFormat="false" ht="17.25" hidden="false" customHeight="false" outlineLevel="0" collapsed="false">
      <c r="B13" s="18" t="s">
        <v>24</v>
      </c>
      <c r="C13" s="19" t="n">
        <v>1500</v>
      </c>
      <c r="H13" s="15" t="s">
        <v>25</v>
      </c>
      <c r="I13" s="20" t="n">
        <f aca="false">ROUNDUP(1+((I12+(F15*10)-1140)/940),0)</f>
        <v>7</v>
      </c>
    </row>
    <row r="14" customFormat="false" ht="19.5" hidden="false" customHeight="false" outlineLevel="0" collapsed="false">
      <c r="B14" s="18"/>
      <c r="C14" s="19"/>
      <c r="E14" s="23" t="s">
        <v>26</v>
      </c>
      <c r="F14" s="24"/>
      <c r="H14" s="15" t="s">
        <v>27</v>
      </c>
      <c r="I14" s="20" t="n">
        <f aca="false">I13*2</f>
        <v>14</v>
      </c>
    </row>
    <row r="15" customFormat="false" ht="16.5" hidden="false" customHeight="true" outlineLevel="0" collapsed="false">
      <c r="B15" s="18" t="s">
        <v>28</v>
      </c>
      <c r="C15" s="19" t="n">
        <v>40</v>
      </c>
      <c r="E15" s="25" t="s">
        <v>29</v>
      </c>
      <c r="F15" s="26" t="n">
        <v>22</v>
      </c>
      <c r="H15" s="15" t="s">
        <v>30</v>
      </c>
      <c r="I15" s="20" t="n">
        <f aca="false">ROUNDUP((((I12+(F15*10))*2)+I11+(F9*10))/1280,0)</f>
        <v>34</v>
      </c>
    </row>
    <row r="16" customFormat="false" ht="17.25" hidden="false" customHeight="false" outlineLevel="0" collapsed="false">
      <c r="B16" s="18"/>
      <c r="C16" s="19"/>
      <c r="E16" s="27" t="s">
        <v>31</v>
      </c>
      <c r="F16" s="28" t="n">
        <v>40</v>
      </c>
      <c r="H16" s="15" t="s">
        <v>32</v>
      </c>
      <c r="I16" s="20" t="n">
        <f aca="false">((I10-1)*I8)+IF(I10=1,0,2)</f>
        <v>62</v>
      </c>
    </row>
    <row r="17" customFormat="false" ht="17.25" hidden="false" customHeight="false" outlineLevel="0" collapsed="false">
      <c r="B17" s="18" t="s">
        <v>33</v>
      </c>
      <c r="C17" s="19" t="n">
        <v>4</v>
      </c>
      <c r="H17" s="15" t="s">
        <v>34</v>
      </c>
      <c r="I17" s="17" t="n">
        <f aca="false">ROUNDUP(1+(((I7-(20*F15))/F11)),0)</f>
        <v>9</v>
      </c>
    </row>
    <row r="18" customFormat="false" ht="16.5" hidden="false" customHeight="true" outlineLevel="0" collapsed="false">
      <c r="B18" s="18"/>
      <c r="C18" s="19"/>
      <c r="E18" s="29" t="s">
        <v>35</v>
      </c>
      <c r="F18" s="29"/>
      <c r="H18" s="15" t="s">
        <v>36</v>
      </c>
      <c r="I18" s="20" t="n">
        <f aca="false">ROUNDUP(I17*I8*1.05,0)</f>
        <v>284</v>
      </c>
    </row>
    <row r="19" customFormat="false" ht="16.5" hidden="false" customHeight="false" outlineLevel="0" collapsed="false">
      <c r="B19" s="18" t="s">
        <v>37</v>
      </c>
      <c r="C19" s="19" t="n">
        <v>15</v>
      </c>
      <c r="E19" s="29"/>
      <c r="F19" s="29"/>
      <c r="H19" s="15" t="s">
        <v>38</v>
      </c>
      <c r="I19" s="20" t="n">
        <f aca="false">ROUNDUP(I18*4.25,0)</f>
        <v>1207</v>
      </c>
    </row>
    <row r="20" customFormat="false" ht="16.5" hidden="false" customHeight="false" outlineLevel="0" collapsed="false">
      <c r="B20" s="18"/>
      <c r="C20" s="19"/>
      <c r="E20" s="29"/>
      <c r="F20" s="29"/>
      <c r="H20" s="15" t="s">
        <v>39</v>
      </c>
      <c r="I20" s="20" t="n">
        <f aca="false">ROUNDUP(I17*I8*1.05,0)</f>
        <v>284</v>
      </c>
    </row>
    <row r="21" customFormat="false" ht="17.25" hidden="false" customHeight="false" outlineLevel="0" collapsed="false">
      <c r="B21" s="30" t="s">
        <v>40</v>
      </c>
      <c r="C21" s="31" t="s">
        <v>41</v>
      </c>
      <c r="E21" s="29"/>
      <c r="F21" s="29"/>
      <c r="H21" s="15" t="s">
        <v>42</v>
      </c>
      <c r="I21" s="17" t="n">
        <f aca="false">ROUNDUP(I20,0)</f>
        <v>284</v>
      </c>
    </row>
    <row r="22" customFormat="false" ht="16.5" hidden="false" customHeight="false" outlineLevel="0" collapsed="false">
      <c r="B22" s="30"/>
      <c r="C22" s="31"/>
      <c r="H22" s="15" t="s">
        <v>43</v>
      </c>
      <c r="I22" s="20" t="n">
        <f aca="false">I8*2</f>
        <v>60</v>
      </c>
    </row>
    <row r="23" customFormat="false" ht="16.5" hidden="false" customHeight="false" outlineLevel="0" collapsed="false">
      <c r="B23" s="18" t="s">
        <v>44</v>
      </c>
      <c r="C23" s="19" t="s">
        <v>45</v>
      </c>
      <c r="E23" s="32" t="s">
        <v>46</v>
      </c>
      <c r="F23" s="33" t="e">
        <f aca="false">#REF!</f>
        <v>#REF!</v>
      </c>
      <c r="H23" s="15" t="s">
        <v>47</v>
      </c>
      <c r="I23" s="20" t="n">
        <f aca="false">IF(C9="Landscape",I8*(C17-1),I8*(C19-1))</f>
        <v>90</v>
      </c>
    </row>
    <row r="24" customFormat="false" ht="16.5" hidden="false" customHeight="false" outlineLevel="0" collapsed="false">
      <c r="B24" s="18"/>
      <c r="C24" s="19"/>
      <c r="E24" s="32"/>
      <c r="F24" s="32"/>
      <c r="H24" s="15" t="s">
        <v>48</v>
      </c>
      <c r="I24" s="20" t="n">
        <f aca="false">IF(C9="Landscape",(C19*2*(C17+1)),(C17*2*(C19+1)))</f>
        <v>150</v>
      </c>
    </row>
    <row r="25" customFormat="false" ht="16.5" hidden="false" customHeight="false" outlineLevel="0" collapsed="false">
      <c r="B25" s="34" t="s">
        <v>49</v>
      </c>
      <c r="C25" s="35"/>
      <c r="H25" s="15" t="s">
        <v>50</v>
      </c>
      <c r="I25" s="17" t="n">
        <f aca="false">ROUNDUP(I24*2.25,0)</f>
        <v>338</v>
      </c>
    </row>
    <row r="26" customFormat="false" ht="17.25" hidden="false" customHeight="false" outlineLevel="0" collapsed="false">
      <c r="B26" s="34"/>
      <c r="C26" s="35"/>
      <c r="H26" s="21" t="s">
        <v>51</v>
      </c>
      <c r="I26" s="36" t="n">
        <f aca="false">ROUNDUP(I9/F7,0)+1</f>
        <v>63</v>
      </c>
    </row>
    <row r="30" customFormat="false" ht="16.5" hidden="false" customHeight="false" outlineLevel="0" collapsed="false">
      <c r="E30" s="37"/>
    </row>
  </sheetData>
  <mergeCells count="29">
    <mergeCell ref="C2:F2"/>
    <mergeCell ref="C3:F3"/>
    <mergeCell ref="C4:F4"/>
    <mergeCell ref="B6:C6"/>
    <mergeCell ref="E6:F6"/>
    <mergeCell ref="H6:I6"/>
    <mergeCell ref="B7:B8"/>
    <mergeCell ref="C7:C8"/>
    <mergeCell ref="B9:B10"/>
    <mergeCell ref="C9:C10"/>
    <mergeCell ref="B11:B12"/>
    <mergeCell ref="C11:C12"/>
    <mergeCell ref="B13:B14"/>
    <mergeCell ref="C13:C14"/>
    <mergeCell ref="B15:B16"/>
    <mergeCell ref="C15:C16"/>
    <mergeCell ref="B17:B18"/>
    <mergeCell ref="C17:C18"/>
    <mergeCell ref="E18:F21"/>
    <mergeCell ref="B19:B20"/>
    <mergeCell ref="C19:C20"/>
    <mergeCell ref="B21:B22"/>
    <mergeCell ref="C21:C22"/>
    <mergeCell ref="B23:B24"/>
    <mergeCell ref="C23:C24"/>
    <mergeCell ref="E23:E24"/>
    <mergeCell ref="F23:F24"/>
    <mergeCell ref="B25:B26"/>
    <mergeCell ref="C25:C26"/>
  </mergeCells>
  <dataValidations count="5">
    <dataValidation allowBlank="false" operator="between" showDropDown="false" showErrorMessage="true" showInputMessage="true" sqref="C7:C8" type="list">
      <formula1>DATA!$C$2:$C$3</formula1>
      <formula2>0</formula2>
    </dataValidation>
    <dataValidation allowBlank="false" operator="between" showDropDown="false" showErrorMessage="true" showInputMessage="true" sqref="C9:C10" type="list">
      <formula1>DATA!$C$4:$C$5</formula1>
      <formula2>0</formula2>
    </dataValidation>
    <dataValidation allowBlank="false" operator="between" showDropDown="false" showErrorMessage="true" showInputMessage="true" sqref="C21:C22" type="list">
      <formula1>DATA!$C$6:$C$7</formula1>
      <formula2>0</formula2>
    </dataValidation>
    <dataValidation allowBlank="false" operator="between" showDropDown="false" showErrorMessage="true" showInputMessage="true" sqref="C23:C24" type="list">
      <formula1>DATA!$C$12:$C$13</formula1>
      <formula2>0</formula2>
    </dataValidation>
    <dataValidation allowBlank="false" operator="between" showDropDown="false" showErrorMessage="true" showInputMessage="true" sqref="C25:C26" type="whole">
      <formula1>DATA!C10</formula1>
      <formula2>DATA!C11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MJ30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D1" activeCellId="0" sqref="D1"/>
    </sheetView>
  </sheetViews>
  <sheetFormatPr defaultColWidth="8.6953125" defaultRowHeight="13.8" zeroHeight="false" outlineLevelRow="0" outlineLevelCol="0"/>
  <cols>
    <col collapsed="false" customWidth="true" hidden="false" outlineLevel="0" max="1" min="1" style="0" width="9"/>
    <col collapsed="false" customWidth="true" hidden="false" outlineLevel="0" max="2" min="2" style="0" width="65.86"/>
    <col collapsed="false" customWidth="true" hidden="false" outlineLevel="0" max="3" min="3" style="0" width="11.86"/>
    <col collapsed="false" customWidth="true" hidden="false" outlineLevel="0" max="1024" min="972" style="0" width="11.52"/>
  </cols>
  <sheetData>
    <row r="1" customFormat="false" ht="13.8" hidden="false" customHeight="false" outlineLevel="0" collapsed="false">
      <c r="A1" s="38" t="s">
        <v>52</v>
      </c>
      <c r="B1" s="39" t="str">
        <f aca="false">VLOOKUP(A1,LP2021V2!$A1:G1097,6,0)</f>
        <v>Solar Onderlaag op rol HDPE 1,14m 10m</v>
      </c>
      <c r="C1" s="40" t="str">
        <f aca="false">VLOOKUP(A1,LP2021V2!A4:G1097,7,0)</f>
        <v>€ 240,15</v>
      </c>
    </row>
    <row r="2" customFormat="false" ht="13.8" hidden="false" customHeight="false" outlineLevel="0" collapsed="false">
      <c r="A2" s="38" t="s">
        <v>53</v>
      </c>
      <c r="B2" s="39" t="str">
        <f aca="false">VLOOKUP(A2,LP2021V2!$A2:G1098,6,0)</f>
        <v>Solar Bevestigingsanker ALU</v>
      </c>
      <c r="C2" s="40" t="str">
        <f aca="false">VLOOKUP(A2,LP2021V2!A5:G1098,7,0)</f>
        <v>€ 5,75</v>
      </c>
    </row>
    <row r="3" customFormat="false" ht="13.8" hidden="false" customHeight="false" outlineLevel="0" collapsed="false">
      <c r="A3" s="38" t="s">
        <v>54</v>
      </c>
      <c r="B3" s="39" t="str">
        <f aca="false">VLOOKUP(A3,LP2021V2!$A3:G1099,6,0)</f>
        <v>Solar Montagerail ALU 3000mm</v>
      </c>
      <c r="C3" s="40" t="str">
        <f aca="false">VLOOKUP(A3,LP2021V2!A6:G1099,7,0)</f>
        <v>€ 25,95</v>
      </c>
    </row>
    <row r="4" customFormat="false" ht="30" hidden="false" customHeight="true" outlineLevel="0" collapsed="false">
      <c r="A4" s="38" t="s">
        <v>55</v>
      </c>
      <c r="B4" s="39" t="str">
        <f aca="false">VLOOKUP(A4,LP2021V2!$A4:G1100,6,0)</f>
        <v>Solar Verholen goot ALU 1150mm grijs</v>
      </c>
      <c r="C4" s="40" t="str">
        <f aca="false">VLOOKUP(A4,LP2021V2!A7:G1100,7,0)</f>
        <v>€ 15,00</v>
      </c>
    </row>
    <row r="5" s="41" customFormat="true" ht="38.25" hidden="false" customHeight="true" outlineLevel="0" collapsed="false">
      <c r="A5" s="38" t="s">
        <v>56</v>
      </c>
      <c r="B5" s="39" t="str">
        <f aca="false">VLOOKUP(A5,LP2021V2!$A5:G1101,6,0)</f>
        <v>Solar Dakhaak RVS</v>
      </c>
      <c r="C5" s="40" t="str">
        <f aca="false">VLOOKUP(A5,LP2021V2!A8:G1101,7,0)</f>
        <v>€ 11,85</v>
      </c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3.8" hidden="false" customHeight="false" outlineLevel="0" collapsed="false">
      <c r="A6" s="38" t="s">
        <v>57</v>
      </c>
      <c r="B6" s="39" t="str">
        <f aca="false">VLOOKUP(A6,LP2021V2!$A6:G1102,6,0)</f>
        <v>Solar Schuimstrook Driehoekprofiel</v>
      </c>
      <c r="C6" s="40" t="str">
        <f aca="false">VLOOKUP(A6,LP2021V2!A9:G1102,7,0)</f>
        <v>€ 6,95</v>
      </c>
    </row>
    <row r="7" customFormat="false" ht="13.8" hidden="false" customHeight="false" outlineLevel="0" collapsed="false">
      <c r="A7" s="38" t="s">
        <v>58</v>
      </c>
      <c r="B7" s="39" t="str">
        <f aca="false">VLOOKUP(A7,LP2021V2!$A7:G1103,6,0)</f>
        <v>Solar Railverbinder ALU</v>
      </c>
      <c r="C7" s="40" t="str">
        <f aca="false">VLOOKUP(A7,LP2021V2!A10:G1103,7,0)</f>
        <v>€ 4,60</v>
      </c>
    </row>
    <row r="8" customFormat="false" ht="13.8" hidden="false" customHeight="false" outlineLevel="0" collapsed="false">
      <c r="A8" s="38" t="s">
        <v>59</v>
      </c>
      <c r="B8" s="39" t="str">
        <f aca="false">VLOOKUP(A8,LP2021V2!$A8:G1104,6,0)</f>
        <v>Solar Rail montageset 4 stuks</v>
      </c>
      <c r="C8" s="40" t="str">
        <f aca="false">VLOOKUP(A8,LP2021V2!A11:G1104,7,0)</f>
        <v>€ 13,65</v>
      </c>
    </row>
    <row r="9" customFormat="false" ht="13.8" hidden="false" customHeight="false" outlineLevel="0" collapsed="false">
      <c r="A9" s="38" t="s">
        <v>60</v>
      </c>
      <c r="B9" s="39" t="str">
        <f aca="false">VLOOKUP(A9,LP2021V2!$A9:G1105,6,0)</f>
        <v>Solar Schroef RVS 5,0x50mm</v>
      </c>
      <c r="C9" s="40" t="str">
        <f aca="false">VLOOKUP(A9,LP2021V2!A12:G1105,7,0)</f>
        <v>€ 5,75</v>
      </c>
    </row>
    <row r="10" customFormat="false" ht="13.8" hidden="false" customHeight="false" outlineLevel="0" collapsed="false">
      <c r="A10" s="38" t="s">
        <v>61</v>
      </c>
      <c r="B10" s="39" t="str">
        <f aca="false">VLOOKUP(A10,LP2021V2!$A10:G1106,6,0)</f>
        <v>Solar Tussen-, eindklem ALU</v>
      </c>
      <c r="C10" s="40" t="str">
        <f aca="false">VLOOKUP(A10,LP2021V2!A13:G1106,7,0)</f>
        <v>€ 3,55</v>
      </c>
    </row>
    <row r="11" customFormat="false" ht="13.8" hidden="false" customHeight="false" outlineLevel="0" collapsed="false">
      <c r="A11" s="38" t="s">
        <v>62</v>
      </c>
      <c r="B11" s="39" t="str">
        <f aca="false">VLOOKUP(A11,LP2021V2!$A11:G1107,6,0)</f>
        <v>Solar Tussen-, eindklem ALU zwart</v>
      </c>
      <c r="C11" s="40" t="str">
        <f aca="false">VLOOKUP(A11,LP2021V2!A14:G1107,7,0)</f>
        <v>€ 3,55</v>
      </c>
    </row>
    <row r="12" customFormat="false" ht="13.8" hidden="false" customHeight="false" outlineLevel="0" collapsed="false">
      <c r="A12" s="38" t="s">
        <v>63</v>
      </c>
      <c r="B12" s="39" t="str">
        <f aca="false">VLOOKUP(A12,LP2021V2!$A12:G1108,6,0)</f>
        <v>Solar Schroef met neopreenring RVS 4,5x45mm</v>
      </c>
      <c r="C12" s="40" t="str">
        <f aca="false">VLOOKUP(A12,LP2021V2!A15:G1108,7,0)</f>
        <v>€ 19,00</v>
      </c>
    </row>
    <row r="13" customFormat="false" ht="13.8" hidden="false" customHeight="false" outlineLevel="0" collapsed="false">
      <c r="A13" s="38" t="s">
        <v>64</v>
      </c>
      <c r="B13" s="39" t="str">
        <f aca="false">VLOOKUP(A13,LP2021V2!$A13:G1109,6,0)</f>
        <v>Solar Moer zelfborgend M8 RVS</v>
      </c>
      <c r="C13" s="40" t="str">
        <f aca="false">VLOOKUP(A13,LP2021V2!A16:G1109,7,0)</f>
        <v>€ 0,15</v>
      </c>
    </row>
    <row r="14" customFormat="false" ht="13.8" hidden="false" customHeight="false" outlineLevel="0" collapsed="false">
      <c r="A14" s="38" t="s">
        <v>65</v>
      </c>
      <c r="B14" s="39" t="str">
        <f aca="false">VLOOKUP(A14,LP2021V2!$A14:G1110,6,0)</f>
        <v>Solar Platdakmontage FRS60</v>
      </c>
      <c r="C14" s="40" t="str">
        <f aca="false">VLOOKUP(A14,LP2021V2!A17:G1110,7,0)</f>
        <v>€ 60,25</v>
      </c>
    </row>
    <row r="15" customFormat="false" ht="13.8" hidden="false" customHeight="false" outlineLevel="0" collapsed="false">
      <c r="A15" s="38" t="s">
        <v>66</v>
      </c>
      <c r="B15" s="39" t="str">
        <f aca="false">VLOOKUP(A15,LP2021V2!$A15:G1111,6,0)</f>
        <v>Solar Bevestigingsset FRS60</v>
      </c>
      <c r="C15" s="40" t="str">
        <f aca="false">VLOOKUP(A15,LP2021V2!A18:G1111,7,0)</f>
        <v>€ 15,40</v>
      </c>
    </row>
    <row r="16" customFormat="false" ht="13.8" hidden="false" customHeight="false" outlineLevel="0" collapsed="false">
      <c r="A16" s="38" t="s">
        <v>67</v>
      </c>
      <c r="B16" s="39" t="str">
        <f aca="false">VLOOKUP(A16,LP2021V2!$A18:G1114,6,0)</f>
        <v>Solar Kabeldakdoorvoer pannendak 15-55°</v>
      </c>
      <c r="C16" s="40" t="str">
        <f aca="false">VLOOKUP(A16,LP2021V2!A21:G1114,7,0)</f>
        <v>€ 63,60</v>
      </c>
    </row>
    <row r="17" customFormat="false" ht="13.8" hidden="false" customHeight="false" outlineLevel="0" collapsed="false">
      <c r="A17" s="38" t="s">
        <v>68</v>
      </c>
      <c r="B17" s="39" t="str">
        <f aca="false">VLOOKUP(A17,LP2021V2!$A19:G1115,6,0)</f>
        <v>Solar Kabel- en Leidingdoorvoer universeel 15-55°</v>
      </c>
      <c r="C17" s="40" t="str">
        <f aca="false">VLOOKUP(A17,LP2021V2!A22:G1115,7,0)</f>
        <v>€ 38,50</v>
      </c>
    </row>
    <row r="18" customFormat="false" ht="13.8" hidden="false" customHeight="false" outlineLevel="0" collapsed="false">
      <c r="A18" s="38" t="s">
        <v>69</v>
      </c>
      <c r="B18" s="39" t="str">
        <f aca="false">VLOOKUP(A18,LP2021V2!$A20:G1116,6,0)</f>
        <v>Solar Kabel- en Leidingdakdoorvoer pannendak 15-55°</v>
      </c>
      <c r="C18" s="40" t="str">
        <f aca="false">VLOOKUP(A18,LP2021V2!A23:G1116,7,0)</f>
        <v>€ 42,70</v>
      </c>
    </row>
    <row r="19" customFormat="false" ht="13.8" hidden="false" customHeight="false" outlineLevel="0" collapsed="false">
      <c r="A19" s="38" t="s">
        <v>70</v>
      </c>
      <c r="B19" s="39" t="str">
        <f aca="false">VLOOKUP(A19,LP2021V2!$A21:G1117,6,0)</f>
        <v>Solar Kabel- en Leidingdakdoorvoer 0°</v>
      </c>
      <c r="C19" s="40" t="str">
        <f aca="false">VLOOKUP(A19,LP2021V2!A24:G1117,7,0)</f>
        <v>€ 27,20</v>
      </c>
    </row>
    <row r="20" customFormat="false" ht="13.8" hidden="false" customHeight="false" outlineLevel="0" collapsed="false">
      <c r="A20" s="38" t="s">
        <v>71</v>
      </c>
      <c r="B20" s="39" t="str">
        <f aca="false">VLOOKUP(A20,LP2021V2!$A22:G1118,6,0)</f>
        <v>Solar Kabel- en Leidingdakdoorvoer 0° geïsoleerd</v>
      </c>
      <c r="C20" s="40" t="str">
        <f aca="false">VLOOKUP(A20,LP2021V2!A25:G1118,7,0)</f>
        <v>€ 36,70</v>
      </c>
    </row>
    <row r="21" customFormat="false" ht="13.8" hidden="false" customHeight="false" outlineLevel="0" collapsed="false">
      <c r="A21" s="38" t="s">
        <v>72</v>
      </c>
      <c r="B21" s="39" t="str">
        <f aca="false">VLOOKUP(A21,LP2021V2!$A23:G1119,6,0)</f>
        <v>Luchtdicht Doorvoermanchet Kabel- en leiding 0-55°</v>
      </c>
      <c r="C21" s="40" t="str">
        <f aca="false">VLOOKUP(A21,LP2021V2!A26:G1119,7,0)</f>
        <v>€ 16,05</v>
      </c>
    </row>
    <row r="22" customFormat="false" ht="13.8" hidden="false" customHeight="false" outlineLevel="0" collapsed="false">
      <c r="A22" s="38" t="s">
        <v>73</v>
      </c>
      <c r="B22" s="39" t="str">
        <f aca="false">VLOOKUP(A22,LP2021V2!$A26:G1122,6,0)</f>
        <v>Solar Vogelschroot 120mm hoek 90° 4 stuks</v>
      </c>
      <c r="C22" s="40" t="str">
        <f aca="false">VLOOKUP(A22,LP2021V2!A29:G1122,7,0)</f>
        <v>€ 13,75</v>
      </c>
    </row>
    <row r="23" customFormat="false" ht="13.8" hidden="false" customHeight="false" outlineLevel="0" collapsed="false">
      <c r="A23" s="38" t="s">
        <v>74</v>
      </c>
      <c r="B23" s="39" t="str">
        <f aca="false">VLOOKUP(A23,LP2021V2!$A27:G1123,6,0)</f>
        <v>Solar Vogelschroot 150mm hoek 90° 4 stuks</v>
      </c>
      <c r="C23" s="40" t="str">
        <f aca="false">VLOOKUP(A23,LP2021V2!A30:G1123,7,0)</f>
        <v>€ 14,50</v>
      </c>
    </row>
    <row r="24" customFormat="false" ht="13.8" hidden="false" customHeight="false" outlineLevel="0" collapsed="false">
      <c r="A24" s="38" t="s">
        <v>75</v>
      </c>
      <c r="B24" s="39" t="str">
        <f aca="false">VLOOKUP(A24,LP2021V2!$A28:G1124,6,0)</f>
        <v>Solar Vogelschroot Zonnepanelen 100mm x 1000mm 20 stuks</v>
      </c>
      <c r="C24" s="40" t="str">
        <f aca="false">VLOOKUP(A24,LP2021V2!A31:G1124,7,0)</f>
        <v>€ 87,25</v>
      </c>
    </row>
    <row r="25" customFormat="false" ht="13.8" hidden="false" customHeight="false" outlineLevel="0" collapsed="false">
      <c r="A25" s="38" t="s">
        <v>76</v>
      </c>
      <c r="B25" s="39" t="str">
        <f aca="false">VLOOKUP(A25,LP2021V2!$A29:G1125,6,0)</f>
        <v>Solar Vogelschroot Zonnepanelen 120mm x 1000mm 20 stuks</v>
      </c>
      <c r="C25" s="40" t="str">
        <f aca="false">VLOOKUP(A25,LP2021V2!A32:G1125,7,0)</f>
        <v>€ 89,25</v>
      </c>
    </row>
    <row r="26" customFormat="false" ht="13.8" hidden="false" customHeight="false" outlineLevel="0" collapsed="false">
      <c r="A26" s="38" t="s">
        <v>77</v>
      </c>
      <c r="B26" s="39" t="str">
        <f aca="false">VLOOKUP(A26,LP2021V2!$A30:G1126,6,0)</f>
        <v>Solar Vogelschroot Zonnepanelen 150mm x 1000mm 20 stuks</v>
      </c>
      <c r="C26" s="40" t="str">
        <f aca="false">VLOOKUP(A26,LP2021V2!A33:G1126,7,0)</f>
        <v>€ 94,70</v>
      </c>
    </row>
    <row r="27" customFormat="false" ht="13.8" hidden="false" customHeight="false" outlineLevel="0" collapsed="false">
      <c r="A27" s="38" t="s">
        <v>78</v>
      </c>
      <c r="B27" s="39" t="str">
        <f aca="false">VLOOKUP(A27,LP2021V2!$A31:G1127,6,0)</f>
        <v>Solar Vogelschroot Zonnepanelen 120mm x 1000mm 500 stuks</v>
      </c>
      <c r="C27" s="40" t="str">
        <f aca="false">VLOOKUP(A27,LP2021V2!A34:G1127,7,0)</f>
        <v>€ 2100,00</v>
      </c>
    </row>
    <row r="28" customFormat="false" ht="13.8" hidden="false" customHeight="false" outlineLevel="0" collapsed="false">
      <c r="A28" s="38" t="s">
        <v>79</v>
      </c>
      <c r="B28" s="39" t="str">
        <f aca="false">VLOOKUP(A28,LP2021V2!$A34:G1130,6,0)</f>
        <v>Ubiflex Standaard Loodvervanger 400mm x 6m zwart</v>
      </c>
      <c r="C28" s="40" t="str">
        <f aca="false">VLOOKUP(A28,LP2021V2!A37:G1130,7,0)</f>
        <v>€ 138,60</v>
      </c>
    </row>
    <row r="29" customFormat="false" ht="13.8" hidden="false" customHeight="false" outlineLevel="0" collapsed="false">
      <c r="A29" s="38" t="s">
        <v>80</v>
      </c>
      <c r="B29" s="39" t="str">
        <f aca="false">VLOOKUP(A29,LP2021V2!$A35:G1131,6,0)</f>
        <v>Ubiflex Standaard Loodvervanger 400mm x 12m zwart</v>
      </c>
      <c r="C29" s="40" t="str">
        <f aca="false">VLOOKUP(A29,LP2021V2!A38:G1131,7,0)</f>
        <v>€ 277,00</v>
      </c>
    </row>
    <row r="30" customFormat="false" ht="13.8" hidden="false" customHeight="false" outlineLevel="0" collapsed="false">
      <c r="A30" s="38" t="s">
        <v>81</v>
      </c>
      <c r="B30" s="39" t="str">
        <f aca="false">VLOOKUP(A30,LP2021V2!$A36:G1132,6,0)</f>
        <v>Ubiflex Kit High Tack koker 290ml zwart</v>
      </c>
      <c r="C30" s="40" t="str">
        <f aca="false">VLOOKUP(A30,LP2021V2!A39:G1132,7,0)</f>
        <v>€ 8,85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P3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U23" activeCellId="0" sqref="U23"/>
    </sheetView>
  </sheetViews>
  <sheetFormatPr defaultColWidth="8.6953125" defaultRowHeight="15" zeroHeight="false" outlineLevelRow="0" outlineLevelCol="0"/>
  <cols>
    <col collapsed="false" customWidth="true" hidden="false" outlineLevel="0" max="1" min="1" style="0" width="9.13"/>
    <col collapsed="false" customWidth="true" hidden="false" outlineLevel="0" max="16" min="2" style="0" width="10.13"/>
    <col collapsed="false" customWidth="true" hidden="false" outlineLevel="0" max="208" min="17" style="0" width="9.13"/>
  </cols>
  <sheetData>
    <row r="1" customFormat="false" ht="15" hidden="false" customHeight="true" outlineLevel="0" collapsed="false"/>
    <row r="2" customFormat="false" ht="71.1" hidden="false" customHeight="true" outlineLevel="0" collapsed="false"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3"/>
    </row>
    <row r="3" customFormat="false" ht="71.1" hidden="false" customHeight="true" outlineLevel="0" collapsed="false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3"/>
    </row>
    <row r="4" customFormat="false" ht="71.1" hidden="false" customHeight="true" outlineLevel="0" collapsed="false"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3"/>
    </row>
    <row r="5" customFormat="false" ht="71.1" hidden="false" customHeight="true" outlineLevel="0" collapsed="false"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5"/>
    </row>
    <row r="6" customFormat="false" ht="15" hidden="false" customHeight="true" outlineLevel="0" collapsed="false"/>
    <row r="7" customFormat="false" ht="15" hidden="false" customHeight="true" outlineLevel="0" collapsed="false"/>
    <row r="8" customFormat="false" ht="15" hidden="false" customHeight="true" outlineLevel="0" collapsed="false"/>
    <row r="9" customFormat="false" ht="15" hidden="false" customHeight="true" outlineLevel="0" collapsed="false"/>
    <row r="10" customFormat="false" ht="15" hidden="false" customHeight="true" outlineLevel="0" collapsed="false"/>
    <row r="11" customFormat="false" ht="15" hidden="false" customHeight="true" outlineLevel="0" collapsed="false"/>
    <row r="12" customFormat="false" ht="15" hidden="false" customHeight="true" outlineLevel="0" collapsed="false"/>
    <row r="13" customFormat="false" ht="15" hidden="false" customHeight="true" outlineLevel="0" collapsed="false"/>
    <row r="14" customFormat="false" ht="15" hidden="false" customHeight="true" outlineLevel="0" collapsed="false"/>
    <row r="15" customFormat="false" ht="15" hidden="false" customHeight="true" outlineLevel="0" collapsed="false"/>
    <row r="16" customFormat="false" ht="15" hidden="false" customHeight="true" outlineLevel="0" collapsed="false"/>
    <row r="17" customFormat="false" ht="15" hidden="false" customHeight="true" outlineLevel="0" collapsed="false"/>
    <row r="18" customFormat="false" ht="15" hidden="false" customHeight="true" outlineLevel="0" collapsed="false"/>
    <row r="19" customFormat="false" ht="15" hidden="false" customHeight="true" outlineLevel="0" collapsed="false"/>
    <row r="20" customFormat="false" ht="15" hidden="false" customHeight="true" outlineLevel="0" collapsed="false"/>
    <row r="21" customFormat="false" ht="15" hidden="false" customHeight="true" outlineLevel="0" collapsed="false"/>
    <row r="22" customFormat="false" ht="15" hidden="false" customHeight="true" outlineLevel="0" collapsed="false"/>
    <row r="23" customFormat="false" ht="15" hidden="false" customHeight="true" outlineLevel="0" collapsed="false"/>
    <row r="24" customFormat="false" ht="15" hidden="false" customHeight="true" outlineLevel="0" collapsed="false"/>
    <row r="25" customFormat="false" ht="15" hidden="false" customHeight="true" outlineLevel="0" collapsed="false"/>
    <row r="26" customFormat="false" ht="15" hidden="false" customHeight="true" outlineLevel="0" collapsed="false"/>
    <row r="27" customFormat="false" ht="15" hidden="false" customHeight="true" outlineLevel="0" collapsed="false"/>
    <row r="28" customFormat="false" ht="15" hidden="false" customHeight="true" outlineLevel="0" collapsed="false"/>
    <row r="29" customFormat="false" ht="15" hidden="false" customHeight="true" outlineLevel="0" collapsed="false"/>
    <row r="30" customFormat="false" ht="15" hidden="false" customHeight="true" outlineLevel="0" collapsed="false"/>
    <row r="31" customFormat="false" ht="15" hidden="false" customHeight="true" outlineLevel="0" collapsed="false"/>
    <row r="32" customFormat="false" ht="15" hidden="false" customHeight="true" outlineLevel="0" collapsed="false"/>
    <row r="33" customFormat="false" ht="15" hidden="false" customHeight="true" outlineLevel="0" collapsed="false"/>
    <row r="34" customFormat="false" ht="15" hidden="false" customHeight="true" outlineLevel="0" collapsed="false"/>
    <row r="35" customFormat="false" ht="15" hidden="false" customHeight="true" outlineLevel="0" collapsed="false"/>
    <row r="36" customFormat="false" ht="15" hidden="false" customHeight="true" outlineLevel="0" collapsed="false"/>
    <row r="37" customFormat="false" ht="15" hidden="false" customHeight="true" outlineLevel="0" collapsed="false"/>
    <row r="38" customFormat="false" ht="15" hidden="false" customHeight="true" outlineLevel="0" collapsed="false"/>
    <row r="39" customFormat="false" ht="15" hidden="false" customHeight="true" outlineLevel="0" collapsed="false"/>
    <row r="40" customFormat="false" ht="15" hidden="false" customHeight="true" outlineLevel="0" collapsed="false"/>
    <row r="41" customFormat="false" ht="15" hidden="false" customHeight="true" outlineLevel="0" collapsed="false"/>
    <row r="42" customFormat="false" ht="15" hidden="false" customHeight="true" outlineLevel="0" collapsed="false"/>
    <row r="43" customFormat="false" ht="15" hidden="false" customHeight="true" outlineLevel="0" collapsed="false"/>
    <row r="44" customFormat="false" ht="15" hidden="false" customHeight="true" outlineLevel="0" collapsed="false"/>
    <row r="45" customFormat="false" ht="15" hidden="false" customHeight="true" outlineLevel="0" collapsed="false"/>
    <row r="46" customFormat="false" ht="15" hidden="false" customHeight="true" outlineLevel="0" collapsed="false"/>
    <row r="47" customFormat="false" ht="15" hidden="false" customHeight="true" outlineLevel="0" collapsed="false"/>
    <row r="48" customFormat="false" ht="15" hidden="false" customHeight="true" outlineLevel="0" collapsed="false"/>
    <row r="49" customFormat="false" ht="15" hidden="false" customHeight="true" outlineLevel="0" collapsed="false"/>
    <row r="50" customFormat="false" ht="15" hidden="false" customHeight="true" outlineLevel="0" collapsed="false"/>
    <row r="51" customFormat="false" ht="15" hidden="false" customHeight="true" outlineLevel="0" collapsed="false"/>
    <row r="52" customFormat="false" ht="15" hidden="false" customHeight="true" outlineLevel="0" collapsed="false"/>
    <row r="53" customFormat="false" ht="15" hidden="false" customHeight="true" outlineLevel="0" collapsed="false"/>
    <row r="54" customFormat="false" ht="15" hidden="false" customHeight="true" outlineLevel="0" collapsed="false"/>
    <row r="55" customFormat="false" ht="15" hidden="false" customHeight="true" outlineLevel="0" collapsed="false"/>
    <row r="56" customFormat="false" ht="15" hidden="false" customHeight="true" outlineLevel="0" collapsed="false"/>
    <row r="57" customFormat="false" ht="15" hidden="false" customHeight="true" outlineLevel="0" collapsed="false"/>
    <row r="58" customFormat="false" ht="15" hidden="false" customHeight="true" outlineLevel="0" collapsed="false"/>
    <row r="59" customFormat="false" ht="15" hidden="false" customHeight="true" outlineLevel="0" collapsed="false"/>
    <row r="60" customFormat="false" ht="15" hidden="false" customHeight="true" outlineLevel="0" collapsed="false"/>
    <row r="61" customFormat="false" ht="15" hidden="false" customHeight="true" outlineLevel="0" collapsed="false"/>
    <row r="62" customFormat="false" ht="15" hidden="false" customHeight="true" outlineLevel="0" collapsed="false"/>
    <row r="63" customFormat="false" ht="15" hidden="false" customHeight="true" outlineLevel="0" collapsed="false"/>
    <row r="64" customFormat="false" ht="15" hidden="false" customHeight="true" outlineLevel="0" collapsed="false"/>
    <row r="65" customFormat="false" ht="15" hidden="false" customHeight="true" outlineLevel="0" collapsed="false"/>
    <row r="66" customFormat="false" ht="15" hidden="false" customHeight="true" outlineLevel="0" collapsed="false"/>
    <row r="67" customFormat="false" ht="15" hidden="false" customHeight="true" outlineLevel="0" collapsed="false"/>
    <row r="68" customFormat="false" ht="15" hidden="false" customHeight="true" outlineLevel="0" collapsed="false"/>
    <row r="69" customFormat="false" ht="15" hidden="false" customHeight="true" outlineLevel="0" collapsed="false"/>
    <row r="70" customFormat="false" ht="15" hidden="false" customHeight="true" outlineLevel="0" collapsed="false"/>
    <row r="71" customFormat="false" ht="15" hidden="false" customHeight="true" outlineLevel="0" collapsed="false"/>
    <row r="72" customFormat="false" ht="15" hidden="false" customHeight="true" outlineLevel="0" collapsed="false"/>
    <row r="73" customFormat="false" ht="15" hidden="false" customHeight="true" outlineLevel="0" collapsed="false"/>
    <row r="74" customFormat="false" ht="15" hidden="false" customHeight="true" outlineLevel="0" collapsed="false"/>
    <row r="75" customFormat="false" ht="15" hidden="false" customHeight="true" outlineLevel="0" collapsed="false"/>
    <row r="76" customFormat="false" ht="15" hidden="false" customHeight="true" outlineLevel="0" collapsed="false"/>
    <row r="77" customFormat="false" ht="15" hidden="false" customHeight="true" outlineLevel="0" collapsed="false"/>
    <row r="78" customFormat="false" ht="15" hidden="false" customHeight="true" outlineLevel="0" collapsed="false"/>
    <row r="79" customFormat="false" ht="15" hidden="false" customHeight="true" outlineLevel="0" collapsed="false"/>
    <row r="80" customFormat="false" ht="15" hidden="false" customHeight="true" outlineLevel="0" collapsed="false"/>
    <row r="81" customFormat="false" ht="15" hidden="false" customHeight="true" outlineLevel="0" collapsed="false"/>
    <row r="82" customFormat="false" ht="15" hidden="false" customHeight="true" outlineLevel="0" collapsed="false"/>
    <row r="83" customFormat="false" ht="15" hidden="false" customHeight="true" outlineLevel="0" collapsed="false"/>
    <row r="84" customFormat="false" ht="15" hidden="false" customHeight="true" outlineLevel="0" collapsed="false"/>
    <row r="85" customFormat="false" ht="15" hidden="false" customHeight="true" outlineLevel="0" collapsed="false"/>
    <row r="86" customFormat="false" ht="15" hidden="false" customHeight="true" outlineLevel="0" collapsed="false"/>
    <row r="87" customFormat="false" ht="15" hidden="false" customHeight="true" outlineLevel="0" collapsed="false"/>
    <row r="88" customFormat="false" ht="15" hidden="false" customHeight="true" outlineLevel="0" collapsed="false"/>
    <row r="89" customFormat="false" ht="15" hidden="false" customHeight="true" outlineLevel="0" collapsed="false"/>
    <row r="90" customFormat="false" ht="15" hidden="false" customHeight="true" outlineLevel="0" collapsed="false"/>
    <row r="91" customFormat="false" ht="15" hidden="false" customHeight="true" outlineLevel="0" collapsed="false"/>
    <row r="92" customFormat="false" ht="15" hidden="false" customHeight="true" outlineLevel="0" collapsed="false"/>
    <row r="93" customFormat="false" ht="15" hidden="false" customHeight="true" outlineLevel="0" collapsed="false"/>
    <row r="94" customFormat="false" ht="15" hidden="false" customHeight="true" outlineLevel="0" collapsed="false"/>
    <row r="95" customFormat="false" ht="15" hidden="false" customHeight="true" outlineLevel="0" collapsed="false"/>
    <row r="96" customFormat="false" ht="15" hidden="false" customHeight="true" outlineLevel="0" collapsed="false"/>
    <row r="97" customFormat="false" ht="15" hidden="false" customHeight="true" outlineLevel="0" collapsed="false"/>
    <row r="98" customFormat="false" ht="15" hidden="false" customHeight="true" outlineLevel="0" collapsed="false"/>
    <row r="99" customFormat="false" ht="15" hidden="false" customHeight="true" outlineLevel="0" collapsed="false"/>
    <row r="100" customFormat="false" ht="15" hidden="false" customHeight="true" outlineLevel="0" collapsed="false"/>
    <row r="101" customFormat="false" ht="15" hidden="false" customHeight="true" outlineLevel="0" collapsed="false"/>
    <row r="102" customFormat="false" ht="15" hidden="false" customHeight="true" outlineLevel="0" collapsed="false"/>
    <row r="103" customFormat="false" ht="15" hidden="false" customHeight="true" outlineLevel="0" collapsed="false"/>
    <row r="104" customFormat="false" ht="15" hidden="false" customHeight="true" outlineLevel="0" collapsed="false"/>
    <row r="105" customFormat="false" ht="15" hidden="false" customHeight="true" outlineLevel="0" collapsed="false"/>
    <row r="106" customFormat="false" ht="15" hidden="false" customHeight="true" outlineLevel="0" collapsed="false"/>
    <row r="107" customFormat="false" ht="15" hidden="false" customHeight="true" outlineLevel="0" collapsed="false"/>
    <row r="108" customFormat="false" ht="15" hidden="false" customHeight="true" outlineLevel="0" collapsed="false"/>
    <row r="109" customFormat="false" ht="15" hidden="false" customHeight="true" outlineLevel="0" collapsed="false"/>
    <row r="110" customFormat="false" ht="15" hidden="false" customHeight="true" outlineLevel="0" collapsed="false"/>
    <row r="111" customFormat="false" ht="15" hidden="false" customHeight="true" outlineLevel="0" collapsed="false"/>
    <row r="112" customFormat="false" ht="15" hidden="false" customHeight="true" outlineLevel="0" collapsed="false"/>
    <row r="113" customFormat="false" ht="15" hidden="false" customHeight="true" outlineLevel="0" collapsed="false"/>
    <row r="114" customFormat="false" ht="15" hidden="false" customHeight="true" outlineLevel="0" collapsed="false"/>
    <row r="115" customFormat="false" ht="15" hidden="false" customHeight="true" outlineLevel="0" collapsed="false"/>
    <row r="116" customFormat="false" ht="15" hidden="false" customHeight="true" outlineLevel="0" collapsed="false"/>
    <row r="117" customFormat="false" ht="15" hidden="false" customHeight="true" outlineLevel="0" collapsed="false"/>
    <row r="118" customFormat="false" ht="15" hidden="false" customHeight="true" outlineLevel="0" collapsed="false"/>
    <row r="119" customFormat="false" ht="15" hidden="false" customHeight="true" outlineLevel="0" collapsed="false"/>
    <row r="120" customFormat="false" ht="15" hidden="false" customHeight="true" outlineLevel="0" collapsed="false"/>
    <row r="121" customFormat="false" ht="15" hidden="false" customHeight="true" outlineLevel="0" collapsed="false"/>
    <row r="122" customFormat="false" ht="15" hidden="false" customHeight="true" outlineLevel="0" collapsed="false"/>
    <row r="123" customFormat="false" ht="15" hidden="false" customHeight="true" outlineLevel="0" collapsed="false"/>
    <row r="124" customFormat="false" ht="15" hidden="false" customHeight="true" outlineLevel="0" collapsed="false"/>
    <row r="125" customFormat="false" ht="15" hidden="false" customHeight="true" outlineLevel="0" collapsed="false"/>
    <row r="126" customFormat="false" ht="15" hidden="false" customHeight="true" outlineLevel="0" collapsed="false"/>
    <row r="127" customFormat="false" ht="15" hidden="false" customHeight="true" outlineLevel="0" collapsed="false"/>
    <row r="128" customFormat="false" ht="15" hidden="false" customHeight="true" outlineLevel="0" collapsed="false"/>
    <row r="129" customFormat="false" ht="15" hidden="false" customHeight="true" outlineLevel="0" collapsed="false"/>
    <row r="130" customFormat="false" ht="15" hidden="false" customHeight="true" outlineLevel="0" collapsed="false"/>
    <row r="131" customFormat="false" ht="15" hidden="false" customHeight="true" outlineLevel="0" collapsed="false"/>
    <row r="132" customFormat="false" ht="15" hidden="false" customHeight="true" outlineLevel="0" collapsed="false"/>
    <row r="133" customFormat="false" ht="15" hidden="false" customHeight="true" outlineLevel="0" collapsed="false"/>
    <row r="134" customFormat="false" ht="15" hidden="false" customHeight="true" outlineLevel="0" collapsed="false"/>
    <row r="135" customFormat="false" ht="15" hidden="false" customHeight="true" outlineLevel="0" collapsed="false"/>
    <row r="136" customFormat="false" ht="15" hidden="false" customHeight="true" outlineLevel="0" collapsed="false"/>
    <row r="137" customFormat="false" ht="15" hidden="false" customHeight="true" outlineLevel="0" collapsed="false"/>
    <row r="138" customFormat="false" ht="15" hidden="false" customHeight="true" outlineLevel="0" collapsed="false"/>
    <row r="139" customFormat="false" ht="15" hidden="false" customHeight="true" outlineLevel="0" collapsed="false"/>
    <row r="140" customFormat="false" ht="15" hidden="false" customHeight="true" outlineLevel="0" collapsed="false"/>
    <row r="141" customFormat="false" ht="15" hidden="false" customHeight="true" outlineLevel="0" collapsed="false"/>
    <row r="142" customFormat="false" ht="15" hidden="false" customHeight="true" outlineLevel="0" collapsed="false"/>
    <row r="143" customFormat="false" ht="15" hidden="false" customHeight="true" outlineLevel="0" collapsed="false"/>
    <row r="144" customFormat="false" ht="15" hidden="false" customHeight="true" outlineLevel="0" collapsed="false"/>
    <row r="145" customFormat="false" ht="15" hidden="false" customHeight="true" outlineLevel="0" collapsed="false"/>
    <row r="146" customFormat="false" ht="15" hidden="false" customHeight="true" outlineLevel="0" collapsed="false"/>
    <row r="147" customFormat="false" ht="15" hidden="false" customHeight="true" outlineLevel="0" collapsed="false"/>
    <row r="148" customFormat="false" ht="15" hidden="false" customHeight="true" outlineLevel="0" collapsed="false"/>
    <row r="149" customFormat="false" ht="15" hidden="false" customHeight="true" outlineLevel="0" collapsed="false"/>
    <row r="150" customFormat="false" ht="15" hidden="false" customHeight="true" outlineLevel="0" collapsed="false"/>
    <row r="151" customFormat="false" ht="15" hidden="false" customHeight="true" outlineLevel="0" collapsed="false"/>
    <row r="152" customFormat="false" ht="15" hidden="false" customHeight="true" outlineLevel="0" collapsed="false"/>
    <row r="153" customFormat="false" ht="15" hidden="false" customHeight="true" outlineLevel="0" collapsed="false"/>
    <row r="154" customFormat="false" ht="15" hidden="false" customHeight="true" outlineLevel="0" collapsed="false"/>
    <row r="155" customFormat="false" ht="15" hidden="false" customHeight="true" outlineLevel="0" collapsed="false"/>
    <row r="156" customFormat="false" ht="15" hidden="false" customHeight="true" outlineLevel="0" collapsed="false"/>
    <row r="157" customFormat="false" ht="15" hidden="false" customHeight="true" outlineLevel="0" collapsed="false"/>
    <row r="158" customFormat="false" ht="15" hidden="false" customHeight="true" outlineLevel="0" collapsed="false"/>
    <row r="159" customFormat="false" ht="15" hidden="false" customHeight="true" outlineLevel="0" collapsed="false"/>
    <row r="160" customFormat="false" ht="15" hidden="false" customHeight="true" outlineLevel="0" collapsed="false"/>
    <row r="161" customFormat="false" ht="15" hidden="false" customHeight="true" outlineLevel="0" collapsed="false"/>
    <row r="162" customFormat="false" ht="15" hidden="false" customHeight="true" outlineLevel="0" collapsed="false"/>
    <row r="163" customFormat="false" ht="15" hidden="false" customHeight="true" outlineLevel="0" collapsed="false"/>
    <row r="164" customFormat="false" ht="15" hidden="false" customHeight="true" outlineLevel="0" collapsed="false"/>
    <row r="165" customFormat="false" ht="15" hidden="false" customHeight="true" outlineLevel="0" collapsed="false"/>
    <row r="166" customFormat="false" ht="15" hidden="false" customHeight="true" outlineLevel="0" collapsed="false"/>
    <row r="167" customFormat="false" ht="15" hidden="false" customHeight="true" outlineLevel="0" collapsed="false"/>
    <row r="168" customFormat="false" ht="15" hidden="false" customHeight="true" outlineLevel="0" collapsed="false"/>
    <row r="169" customFormat="false" ht="15" hidden="false" customHeight="true" outlineLevel="0" collapsed="false"/>
    <row r="170" customFormat="false" ht="15" hidden="false" customHeight="true" outlineLevel="0" collapsed="false"/>
    <row r="171" customFormat="false" ht="15" hidden="false" customHeight="true" outlineLevel="0" collapsed="false"/>
    <row r="172" customFormat="false" ht="15" hidden="false" customHeight="true" outlineLevel="0" collapsed="false"/>
    <row r="173" customFormat="false" ht="15" hidden="false" customHeight="true" outlineLevel="0" collapsed="false"/>
    <row r="174" customFormat="false" ht="15" hidden="false" customHeight="true" outlineLevel="0" collapsed="false"/>
    <row r="175" customFormat="false" ht="15" hidden="false" customHeight="true" outlineLevel="0" collapsed="false"/>
    <row r="176" customFormat="false" ht="15" hidden="false" customHeight="true" outlineLevel="0" collapsed="false"/>
    <row r="177" customFormat="false" ht="15" hidden="false" customHeight="true" outlineLevel="0" collapsed="false"/>
    <row r="178" customFormat="false" ht="15" hidden="false" customHeight="true" outlineLevel="0" collapsed="false"/>
    <row r="179" customFormat="false" ht="15" hidden="false" customHeight="true" outlineLevel="0" collapsed="false"/>
    <row r="180" customFormat="false" ht="15" hidden="false" customHeight="true" outlineLevel="0" collapsed="false"/>
    <row r="181" customFormat="false" ht="15" hidden="false" customHeight="true" outlineLevel="0" collapsed="false"/>
    <row r="182" customFormat="false" ht="15" hidden="false" customHeight="true" outlineLevel="0" collapsed="false"/>
    <row r="183" customFormat="false" ht="15" hidden="false" customHeight="true" outlineLevel="0" collapsed="false"/>
    <row r="184" customFormat="false" ht="15" hidden="false" customHeight="true" outlineLevel="0" collapsed="false"/>
    <row r="185" customFormat="false" ht="15" hidden="false" customHeight="true" outlineLevel="0" collapsed="false"/>
    <row r="186" customFormat="false" ht="15" hidden="false" customHeight="true" outlineLevel="0" collapsed="false"/>
    <row r="187" customFormat="false" ht="15" hidden="false" customHeight="true" outlineLevel="0" collapsed="false"/>
    <row r="188" customFormat="false" ht="15" hidden="false" customHeight="true" outlineLevel="0" collapsed="false"/>
    <row r="189" customFormat="false" ht="15" hidden="false" customHeight="true" outlineLevel="0" collapsed="false"/>
    <row r="190" customFormat="false" ht="15" hidden="false" customHeight="true" outlineLevel="0" collapsed="false"/>
    <row r="191" customFormat="false" ht="15" hidden="false" customHeight="true" outlineLevel="0" collapsed="false"/>
    <row r="192" customFormat="false" ht="15" hidden="false" customHeight="true" outlineLevel="0" collapsed="false"/>
    <row r="193" customFormat="false" ht="15" hidden="false" customHeight="true" outlineLevel="0" collapsed="false"/>
    <row r="194" customFormat="false" ht="15" hidden="false" customHeight="true" outlineLevel="0" collapsed="false"/>
    <row r="195" customFormat="false" ht="15" hidden="false" customHeight="true" outlineLevel="0" collapsed="false"/>
    <row r="196" customFormat="false" ht="15" hidden="false" customHeight="true" outlineLevel="0" collapsed="false"/>
    <row r="197" customFormat="false" ht="15" hidden="false" customHeight="true" outlineLevel="0" collapsed="false"/>
    <row r="198" customFormat="false" ht="15" hidden="false" customHeight="true" outlineLevel="0" collapsed="false"/>
    <row r="199" customFormat="false" ht="15" hidden="false" customHeight="true" outlineLevel="0" collapsed="false"/>
    <row r="200" customFormat="false" ht="15" hidden="false" customHeight="true" outlineLevel="0" collapsed="false"/>
    <row r="201" customFormat="false" ht="15" hidden="false" customHeight="true" outlineLevel="0" collapsed="false"/>
    <row r="202" customFormat="false" ht="15" hidden="false" customHeight="true" outlineLevel="0" collapsed="false"/>
    <row r="203" customFormat="false" ht="15" hidden="false" customHeight="true" outlineLevel="0" collapsed="false"/>
    <row r="204" customFormat="false" ht="15" hidden="false" customHeight="true" outlineLevel="0" collapsed="false"/>
    <row r="205" customFormat="false" ht="15" hidden="false" customHeight="true" outlineLevel="0" collapsed="false"/>
    <row r="206" customFormat="false" ht="15" hidden="false" customHeight="true" outlineLevel="0" collapsed="false"/>
    <row r="207" customFormat="false" ht="15" hidden="false" customHeight="true" outlineLevel="0" collapsed="false"/>
    <row r="208" customFormat="false" ht="15" hidden="false" customHeight="true" outlineLevel="0" collapsed="false"/>
    <row r="209" customFormat="false" ht="15" hidden="false" customHeight="true" outlineLevel="0" collapsed="false"/>
    <row r="210" customFormat="false" ht="15" hidden="false" customHeight="true" outlineLevel="0" collapsed="false"/>
    <row r="211" customFormat="false" ht="15" hidden="false" customHeight="true" outlineLevel="0" collapsed="false"/>
    <row r="212" customFormat="false" ht="15" hidden="false" customHeight="true" outlineLevel="0" collapsed="false"/>
    <row r="213" customFormat="false" ht="15" hidden="false" customHeight="true" outlineLevel="0" collapsed="false"/>
    <row r="214" customFormat="false" ht="15" hidden="false" customHeight="true" outlineLevel="0" collapsed="false"/>
    <row r="215" customFormat="false" ht="15" hidden="false" customHeight="true" outlineLevel="0" collapsed="false"/>
    <row r="216" customFormat="false" ht="15" hidden="false" customHeight="true" outlineLevel="0" collapsed="false"/>
    <row r="217" customFormat="false" ht="15" hidden="false" customHeight="true" outlineLevel="0" collapsed="false"/>
    <row r="218" customFormat="false" ht="15" hidden="false" customHeight="true" outlineLevel="0" collapsed="false"/>
    <row r="219" customFormat="false" ht="15" hidden="false" customHeight="true" outlineLevel="0" collapsed="false"/>
    <row r="220" customFormat="false" ht="15" hidden="false" customHeight="true" outlineLevel="0" collapsed="false"/>
    <row r="221" customFormat="false" ht="15" hidden="false" customHeight="true" outlineLevel="0" collapsed="false"/>
    <row r="222" customFormat="false" ht="15" hidden="false" customHeight="true" outlineLevel="0" collapsed="false"/>
    <row r="223" customFormat="false" ht="15" hidden="false" customHeight="true" outlineLevel="0" collapsed="false"/>
    <row r="224" customFormat="false" ht="15" hidden="false" customHeight="true" outlineLevel="0" collapsed="false"/>
    <row r="225" customFormat="false" ht="15" hidden="false" customHeight="true" outlineLevel="0" collapsed="false"/>
    <row r="226" customFormat="false" ht="15" hidden="false" customHeight="true" outlineLevel="0" collapsed="false"/>
    <row r="227" customFormat="false" ht="15" hidden="false" customHeight="true" outlineLevel="0" collapsed="false"/>
    <row r="228" customFormat="false" ht="15" hidden="false" customHeight="true" outlineLevel="0" collapsed="false"/>
    <row r="229" customFormat="false" ht="15" hidden="false" customHeight="true" outlineLevel="0" collapsed="false"/>
    <row r="230" customFormat="false" ht="15" hidden="false" customHeight="true" outlineLevel="0" collapsed="false"/>
    <row r="231" customFormat="false" ht="15" hidden="false" customHeight="true" outlineLevel="0" collapsed="false"/>
    <row r="232" customFormat="false" ht="15" hidden="false" customHeight="true" outlineLevel="0" collapsed="false"/>
    <row r="233" customFormat="false" ht="15" hidden="false" customHeight="true" outlineLevel="0" collapsed="false"/>
    <row r="234" customFormat="false" ht="15" hidden="false" customHeight="true" outlineLevel="0" collapsed="false"/>
    <row r="235" customFormat="false" ht="15" hidden="false" customHeight="true" outlineLevel="0" collapsed="false"/>
    <row r="236" customFormat="false" ht="15" hidden="false" customHeight="true" outlineLevel="0" collapsed="false"/>
    <row r="237" customFormat="false" ht="15" hidden="false" customHeight="true" outlineLevel="0" collapsed="false"/>
    <row r="238" customFormat="false" ht="15" hidden="false" customHeight="true" outlineLevel="0" collapsed="false"/>
    <row r="239" customFormat="false" ht="15" hidden="false" customHeight="true" outlineLevel="0" collapsed="false"/>
    <row r="240" customFormat="false" ht="15" hidden="false" customHeight="true" outlineLevel="0" collapsed="false"/>
    <row r="241" customFormat="false" ht="15" hidden="false" customHeight="true" outlineLevel="0" collapsed="false"/>
    <row r="242" customFormat="false" ht="15" hidden="false" customHeight="true" outlineLevel="0" collapsed="false"/>
    <row r="243" customFormat="false" ht="15" hidden="false" customHeight="true" outlineLevel="0" collapsed="false"/>
    <row r="244" customFormat="false" ht="15" hidden="false" customHeight="true" outlineLevel="0" collapsed="false"/>
    <row r="245" customFormat="false" ht="15" hidden="false" customHeight="true" outlineLevel="0" collapsed="false"/>
    <row r="246" customFormat="false" ht="15" hidden="false" customHeight="true" outlineLevel="0" collapsed="false"/>
    <row r="247" customFormat="false" ht="15" hidden="false" customHeight="true" outlineLevel="0" collapsed="false"/>
    <row r="248" customFormat="false" ht="15" hidden="false" customHeight="true" outlineLevel="0" collapsed="false"/>
    <row r="249" customFormat="false" ht="15" hidden="false" customHeight="true" outlineLevel="0" collapsed="false"/>
    <row r="250" customFormat="false" ht="15" hidden="false" customHeight="true" outlineLevel="0" collapsed="false"/>
    <row r="251" customFormat="false" ht="15" hidden="false" customHeight="true" outlineLevel="0" collapsed="false"/>
    <row r="252" customFormat="false" ht="15" hidden="false" customHeight="true" outlineLevel="0" collapsed="false"/>
    <row r="253" customFormat="false" ht="15" hidden="false" customHeight="true" outlineLevel="0" collapsed="false"/>
    <row r="254" customFormat="false" ht="15" hidden="false" customHeight="true" outlineLevel="0" collapsed="false"/>
    <row r="255" customFormat="false" ht="15" hidden="false" customHeight="true" outlineLevel="0" collapsed="false"/>
    <row r="256" customFormat="false" ht="15" hidden="false" customHeight="true" outlineLevel="0" collapsed="false"/>
    <row r="257" customFormat="false" ht="15" hidden="false" customHeight="true" outlineLevel="0" collapsed="false"/>
    <row r="258" customFormat="false" ht="15" hidden="false" customHeight="true" outlineLevel="0" collapsed="false"/>
    <row r="259" customFormat="false" ht="15" hidden="false" customHeight="true" outlineLevel="0" collapsed="false"/>
    <row r="260" customFormat="false" ht="15" hidden="false" customHeight="true" outlineLevel="0" collapsed="false"/>
    <row r="261" customFormat="false" ht="15" hidden="false" customHeight="true" outlineLevel="0" collapsed="false"/>
    <row r="262" customFormat="false" ht="15" hidden="false" customHeight="true" outlineLevel="0" collapsed="false"/>
    <row r="263" customFormat="false" ht="15" hidden="false" customHeight="true" outlineLevel="0" collapsed="false"/>
    <row r="264" customFormat="false" ht="15" hidden="false" customHeight="true" outlineLevel="0" collapsed="false"/>
    <row r="265" customFormat="false" ht="15" hidden="false" customHeight="true" outlineLevel="0" collapsed="false"/>
    <row r="266" customFormat="false" ht="15" hidden="false" customHeight="true" outlineLevel="0" collapsed="false"/>
    <row r="267" customFormat="false" ht="15" hidden="false" customHeight="true" outlineLevel="0" collapsed="false"/>
    <row r="268" customFormat="false" ht="15" hidden="false" customHeight="true" outlineLevel="0" collapsed="false"/>
    <row r="269" customFormat="false" ht="15" hidden="false" customHeight="true" outlineLevel="0" collapsed="false"/>
    <row r="270" customFormat="false" ht="15" hidden="false" customHeight="true" outlineLevel="0" collapsed="false"/>
    <row r="271" customFormat="false" ht="15" hidden="false" customHeight="true" outlineLevel="0" collapsed="false"/>
    <row r="272" customFormat="false" ht="15" hidden="false" customHeight="true" outlineLevel="0" collapsed="false"/>
    <row r="273" customFormat="false" ht="15" hidden="false" customHeight="true" outlineLevel="0" collapsed="false"/>
    <row r="274" customFormat="false" ht="15" hidden="false" customHeight="true" outlineLevel="0" collapsed="false"/>
    <row r="275" customFormat="false" ht="15" hidden="false" customHeight="true" outlineLevel="0" collapsed="false"/>
    <row r="276" customFormat="false" ht="15" hidden="false" customHeight="true" outlineLevel="0" collapsed="false"/>
    <row r="277" customFormat="false" ht="15" hidden="false" customHeight="true" outlineLevel="0" collapsed="false"/>
    <row r="278" customFormat="false" ht="15" hidden="false" customHeight="true" outlineLevel="0" collapsed="false"/>
    <row r="279" customFormat="false" ht="15" hidden="false" customHeight="true" outlineLevel="0" collapsed="false"/>
    <row r="280" customFormat="false" ht="15" hidden="false" customHeight="true" outlineLevel="0" collapsed="false"/>
    <row r="281" customFormat="false" ht="15" hidden="false" customHeight="true" outlineLevel="0" collapsed="false"/>
    <row r="282" customFormat="false" ht="15" hidden="false" customHeight="true" outlineLevel="0" collapsed="false"/>
    <row r="283" customFormat="false" ht="15" hidden="false" customHeight="true" outlineLevel="0" collapsed="false"/>
    <row r="284" customFormat="false" ht="15" hidden="false" customHeight="true" outlineLevel="0" collapsed="false"/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  <row r="291" customFormat="false" ht="15" hidden="false" customHeight="true" outlineLevel="0" collapsed="false"/>
    <row r="292" customFormat="false" ht="15" hidden="false" customHeight="true" outlineLevel="0" collapsed="false"/>
    <row r="293" customFormat="false" ht="15" hidden="false" customHeight="true" outlineLevel="0" collapsed="false"/>
    <row r="294" customFormat="false" ht="15" hidden="false" customHeight="true" outlineLevel="0" collapsed="false"/>
    <row r="295" customFormat="false" ht="15" hidden="false" customHeight="true" outlineLevel="0" collapsed="false"/>
    <row r="296" customFormat="false" ht="15" hidden="false" customHeight="true" outlineLevel="0" collapsed="false"/>
    <row r="297" customFormat="false" ht="15" hidden="false" customHeight="true" outlineLevel="0" collapsed="false"/>
    <row r="298" customFormat="false" ht="15" hidden="false" customHeight="true" outlineLevel="0" collapsed="false"/>
    <row r="299" customFormat="false" ht="15" hidden="false" customHeight="true" outlineLevel="0" collapsed="false"/>
    <row r="300" customFormat="false" ht="1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097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F15" activeCellId="0" sqref="F15"/>
    </sheetView>
  </sheetViews>
  <sheetFormatPr defaultColWidth="8.6953125" defaultRowHeight="15" zeroHeight="false" outlineLevelRow="0" outlineLevelCol="0"/>
  <cols>
    <col collapsed="false" customWidth="true" hidden="false" outlineLevel="0" max="1" min="1" style="0" width="8.14"/>
    <col collapsed="false" customWidth="true" hidden="false" outlineLevel="0" max="2" min="2" style="0" width="14.28"/>
    <col collapsed="false" customWidth="true" hidden="false" outlineLevel="0" max="3" min="3" style="0" width="17.86"/>
    <col collapsed="false" customWidth="true" hidden="false" outlineLevel="0" max="4" min="4" style="0" width="8.86"/>
    <col collapsed="false" customWidth="true" hidden="false" outlineLevel="0" max="5" min="5" style="0" width="15.71"/>
    <col collapsed="false" customWidth="true" hidden="false" outlineLevel="0" max="6" min="6" style="0" width="51.59"/>
    <col collapsed="false" customWidth="true" hidden="false" outlineLevel="0" max="7" min="7" style="0" width="9.29"/>
    <col collapsed="false" customWidth="true" hidden="false" outlineLevel="0" max="8" min="8" style="0" width="6.71"/>
  </cols>
  <sheetData>
    <row r="1" customFormat="false" ht="15" hidden="false" customHeight="false" outlineLevel="0" collapsed="false">
      <c r="A1" s="46" t="s">
        <v>82</v>
      </c>
      <c r="B1" s="47"/>
      <c r="C1" s="47"/>
      <c r="D1" s="47"/>
      <c r="E1" s="47"/>
      <c r="F1" s="47"/>
      <c r="G1" s="47"/>
      <c r="H1" s="47"/>
    </row>
    <row r="2" customFormat="false" ht="15" hidden="false" customHeight="false" outlineLevel="0" collapsed="false">
      <c r="A2" s="46" t="s">
        <v>83</v>
      </c>
      <c r="B2" s="47"/>
      <c r="C2" s="47"/>
      <c r="D2" s="47"/>
      <c r="E2" s="47"/>
      <c r="F2" s="47"/>
      <c r="G2" s="47"/>
      <c r="H2" s="47"/>
    </row>
    <row r="3" customFormat="false" ht="15" hidden="false" customHeight="false" outlineLevel="0" collapsed="false">
      <c r="A3" s="48" t="s">
        <v>84</v>
      </c>
      <c r="B3" s="47"/>
      <c r="C3" s="47"/>
      <c r="D3" s="47"/>
      <c r="E3" s="47"/>
      <c r="F3" s="47"/>
      <c r="G3" s="47"/>
      <c r="H3" s="47"/>
    </row>
    <row r="4" customFormat="false" ht="45" hidden="false" customHeight="false" outlineLevel="0" collapsed="false">
      <c r="A4" s="49" t="s">
        <v>85</v>
      </c>
      <c r="B4" s="49" t="s">
        <v>86</v>
      </c>
      <c r="C4" s="49" t="s">
        <v>87</v>
      </c>
      <c r="D4" s="49" t="s">
        <v>88</v>
      </c>
      <c r="E4" s="49" t="s">
        <v>89</v>
      </c>
      <c r="F4" s="49" t="s">
        <v>90</v>
      </c>
      <c r="G4" s="49" t="s">
        <v>91</v>
      </c>
      <c r="H4" s="49" t="s">
        <v>92</v>
      </c>
    </row>
    <row r="5" customFormat="false" ht="15" hidden="false" customHeight="false" outlineLevel="0" collapsed="false">
      <c r="A5" s="50" t="s">
        <v>93</v>
      </c>
      <c r="B5" s="50" t="s">
        <v>94</v>
      </c>
      <c r="C5" s="50" t="s">
        <v>95</v>
      </c>
      <c r="D5" s="50" t="n">
        <v>2</v>
      </c>
      <c r="E5" s="50" t="s">
        <v>96</v>
      </c>
      <c r="F5" s="50" t="s">
        <v>97</v>
      </c>
      <c r="G5" s="51" t="s">
        <v>98</v>
      </c>
      <c r="H5" s="50" t="n">
        <v>100</v>
      </c>
      <c r="I5" s="50"/>
      <c r="K5" s="50"/>
    </row>
    <row r="6" customFormat="false" ht="15" hidden="false" customHeight="false" outlineLevel="0" collapsed="false">
      <c r="A6" s="50" t="s">
        <v>99</v>
      </c>
      <c r="B6" s="50" t="s">
        <v>100</v>
      </c>
      <c r="C6" s="50" t="s">
        <v>95</v>
      </c>
      <c r="D6" s="50" t="n">
        <v>2</v>
      </c>
      <c r="E6" s="50" t="s">
        <v>96</v>
      </c>
      <c r="F6" s="50" t="s">
        <v>101</v>
      </c>
      <c r="G6" s="52" t="s">
        <v>102</v>
      </c>
      <c r="H6" s="50" t="n">
        <v>0</v>
      </c>
      <c r="I6" s="50"/>
      <c r="K6" s="50"/>
    </row>
    <row r="7" customFormat="false" ht="15" hidden="false" customHeight="false" outlineLevel="0" collapsed="false">
      <c r="A7" s="50" t="s">
        <v>103</v>
      </c>
      <c r="B7" s="50" t="s">
        <v>104</v>
      </c>
      <c r="C7" s="50" t="s">
        <v>95</v>
      </c>
      <c r="D7" s="50" t="n">
        <v>2</v>
      </c>
      <c r="E7" s="50" t="s">
        <v>96</v>
      </c>
      <c r="F7" s="50" t="s">
        <v>105</v>
      </c>
      <c r="G7" s="52" t="s">
        <v>106</v>
      </c>
      <c r="H7" s="50" t="n">
        <v>12</v>
      </c>
      <c r="I7" s="50"/>
      <c r="K7" s="50"/>
    </row>
    <row r="8" customFormat="false" ht="15" hidden="false" customHeight="false" outlineLevel="0" collapsed="false">
      <c r="A8" s="50" t="s">
        <v>107</v>
      </c>
      <c r="B8" s="50" t="s">
        <v>108</v>
      </c>
      <c r="C8" s="50" t="s">
        <v>95</v>
      </c>
      <c r="D8" s="50" t="n">
        <v>2</v>
      </c>
      <c r="E8" s="50" t="s">
        <v>96</v>
      </c>
      <c r="F8" s="50" t="s">
        <v>109</v>
      </c>
      <c r="G8" s="52" t="s">
        <v>110</v>
      </c>
      <c r="H8" s="50" t="n">
        <v>1</v>
      </c>
      <c r="I8" s="50"/>
      <c r="K8" s="50"/>
    </row>
    <row r="9" customFormat="false" ht="15" hidden="false" customHeight="false" outlineLevel="0" collapsed="false">
      <c r="A9" s="50" t="s">
        <v>111</v>
      </c>
      <c r="B9" s="50" t="s">
        <v>112</v>
      </c>
      <c r="C9" s="50" t="s">
        <v>95</v>
      </c>
      <c r="D9" s="50" t="n">
        <v>15</v>
      </c>
      <c r="E9" s="50" t="s">
        <v>113</v>
      </c>
      <c r="F9" s="50" t="s">
        <v>114</v>
      </c>
      <c r="G9" s="52" t="s">
        <v>115</v>
      </c>
      <c r="H9" s="50" t="n">
        <v>1</v>
      </c>
      <c r="I9" s="50"/>
      <c r="K9" s="50"/>
    </row>
    <row r="10" customFormat="false" ht="15" hidden="false" customHeight="false" outlineLevel="0" collapsed="false">
      <c r="A10" s="50" t="s">
        <v>116</v>
      </c>
      <c r="B10" s="50" t="s">
        <v>117</v>
      </c>
      <c r="C10" s="50" t="s">
        <v>95</v>
      </c>
      <c r="D10" s="50" t="n">
        <v>2</v>
      </c>
      <c r="E10" s="50" t="s">
        <v>96</v>
      </c>
      <c r="F10" s="50" t="s">
        <v>118</v>
      </c>
      <c r="G10" s="52" t="s">
        <v>110</v>
      </c>
      <c r="H10" s="50" t="n">
        <v>1</v>
      </c>
      <c r="I10" s="50"/>
      <c r="K10" s="50"/>
    </row>
    <row r="11" customFormat="false" ht="15" hidden="false" customHeight="false" outlineLevel="0" collapsed="false">
      <c r="A11" s="50" t="s">
        <v>119</v>
      </c>
      <c r="B11" s="50" t="s">
        <v>120</v>
      </c>
      <c r="C11" s="50" t="s">
        <v>95</v>
      </c>
      <c r="D11" s="50" t="n">
        <v>2</v>
      </c>
      <c r="E11" s="50" t="s">
        <v>96</v>
      </c>
      <c r="F11" s="50" t="s">
        <v>121</v>
      </c>
      <c r="G11" s="52" t="s">
        <v>115</v>
      </c>
      <c r="H11" s="50" t="n">
        <v>1</v>
      </c>
      <c r="I11" s="50"/>
      <c r="K11" s="50"/>
    </row>
    <row r="12" customFormat="false" ht="15" hidden="false" customHeight="false" outlineLevel="0" collapsed="false">
      <c r="A12" s="50" t="s">
        <v>122</v>
      </c>
      <c r="B12" s="50" t="s">
        <v>123</v>
      </c>
      <c r="C12" s="50" t="s">
        <v>95</v>
      </c>
      <c r="D12" s="50" t="n">
        <v>2</v>
      </c>
      <c r="E12" s="50" t="s">
        <v>96</v>
      </c>
      <c r="F12" s="50" t="s">
        <v>124</v>
      </c>
      <c r="G12" s="52" t="s">
        <v>110</v>
      </c>
      <c r="H12" s="50" t="n">
        <v>1</v>
      </c>
      <c r="I12" s="50"/>
      <c r="K12" s="50"/>
    </row>
    <row r="13" customFormat="false" ht="15" hidden="false" customHeight="false" outlineLevel="0" collapsed="false">
      <c r="A13" s="50" t="s">
        <v>125</v>
      </c>
      <c r="B13" s="50" t="s">
        <v>126</v>
      </c>
      <c r="C13" s="50" t="s">
        <v>95</v>
      </c>
      <c r="D13" s="50" t="n">
        <v>2</v>
      </c>
      <c r="E13" s="50" t="s">
        <v>96</v>
      </c>
      <c r="F13" s="50" t="s">
        <v>127</v>
      </c>
      <c r="G13" s="52" t="s">
        <v>115</v>
      </c>
      <c r="H13" s="50" t="n">
        <v>1</v>
      </c>
      <c r="I13" s="50"/>
      <c r="K13" s="50"/>
    </row>
    <row r="14" customFormat="false" ht="15" hidden="false" customHeight="false" outlineLevel="0" collapsed="false">
      <c r="A14" s="50" t="s">
        <v>128</v>
      </c>
      <c r="B14" s="50" t="s">
        <v>129</v>
      </c>
      <c r="C14" s="50" t="s">
        <v>95</v>
      </c>
      <c r="D14" s="50" t="n">
        <v>15</v>
      </c>
      <c r="E14" s="50" t="s">
        <v>113</v>
      </c>
      <c r="F14" s="50" t="s">
        <v>130</v>
      </c>
      <c r="G14" s="52" t="s">
        <v>110</v>
      </c>
      <c r="H14" s="50" t="n">
        <v>1</v>
      </c>
      <c r="I14" s="50"/>
      <c r="K14" s="50"/>
    </row>
    <row r="15" customFormat="false" ht="15" hidden="false" customHeight="false" outlineLevel="0" collapsed="false">
      <c r="A15" s="50" t="s">
        <v>131</v>
      </c>
      <c r="B15" s="50" t="s">
        <v>132</v>
      </c>
      <c r="C15" s="50" t="s">
        <v>95</v>
      </c>
      <c r="D15" s="50" t="n">
        <v>2</v>
      </c>
      <c r="E15" s="50" t="s">
        <v>96</v>
      </c>
      <c r="F15" s="50" t="s">
        <v>133</v>
      </c>
      <c r="G15" s="52" t="s">
        <v>110</v>
      </c>
      <c r="H15" s="50" t="n">
        <v>1</v>
      </c>
      <c r="I15" s="50"/>
      <c r="K15" s="50"/>
    </row>
    <row r="16" customFormat="false" ht="15" hidden="false" customHeight="false" outlineLevel="0" collapsed="false">
      <c r="A16" s="50" t="s">
        <v>134</v>
      </c>
      <c r="B16" s="50" t="s">
        <v>135</v>
      </c>
      <c r="C16" s="50" t="s">
        <v>95</v>
      </c>
      <c r="D16" s="50" t="n">
        <v>15</v>
      </c>
      <c r="E16" s="50" t="s">
        <v>113</v>
      </c>
      <c r="F16" s="50" t="s">
        <v>136</v>
      </c>
      <c r="G16" s="52" t="s">
        <v>110</v>
      </c>
      <c r="H16" s="50" t="n">
        <v>1</v>
      </c>
      <c r="I16" s="50"/>
      <c r="K16" s="50"/>
    </row>
    <row r="17" customFormat="false" ht="15" hidden="false" customHeight="false" outlineLevel="0" collapsed="false">
      <c r="A17" s="50" t="s">
        <v>137</v>
      </c>
      <c r="B17" s="50" t="s">
        <v>138</v>
      </c>
      <c r="C17" s="50" t="s">
        <v>95</v>
      </c>
      <c r="D17" s="50" t="n">
        <v>15</v>
      </c>
      <c r="E17" s="50" t="s">
        <v>113</v>
      </c>
      <c r="F17" s="50" t="s">
        <v>139</v>
      </c>
      <c r="G17" s="52" t="s">
        <v>115</v>
      </c>
      <c r="H17" s="50" t="n">
        <v>1</v>
      </c>
      <c r="I17" s="50"/>
      <c r="K17" s="50"/>
    </row>
    <row r="18" customFormat="false" ht="15" hidden="false" customHeight="false" outlineLevel="0" collapsed="false">
      <c r="A18" s="50" t="s">
        <v>140</v>
      </c>
      <c r="B18" s="50" t="s">
        <v>141</v>
      </c>
      <c r="C18" s="50" t="s">
        <v>95</v>
      </c>
      <c r="D18" s="50" t="n">
        <v>15</v>
      </c>
      <c r="E18" s="50" t="s">
        <v>113</v>
      </c>
      <c r="F18" s="50" t="s">
        <v>142</v>
      </c>
      <c r="G18" s="52" t="s">
        <v>110</v>
      </c>
      <c r="H18" s="50" t="n">
        <v>1</v>
      </c>
      <c r="I18" s="50"/>
      <c r="K18" s="50"/>
    </row>
    <row r="19" customFormat="false" ht="15" hidden="false" customHeight="false" outlineLevel="0" collapsed="false">
      <c r="A19" s="50" t="s">
        <v>143</v>
      </c>
      <c r="B19" s="50" t="s">
        <v>144</v>
      </c>
      <c r="C19" s="50" t="s">
        <v>95</v>
      </c>
      <c r="D19" s="50" t="n">
        <v>15</v>
      </c>
      <c r="E19" s="50" t="s">
        <v>113</v>
      </c>
      <c r="F19" s="50" t="s">
        <v>145</v>
      </c>
      <c r="G19" s="52" t="s">
        <v>110</v>
      </c>
      <c r="H19" s="50" t="n">
        <v>1</v>
      </c>
      <c r="I19" s="50"/>
      <c r="K19" s="50"/>
    </row>
    <row r="20" customFormat="false" ht="15" hidden="false" customHeight="false" outlineLevel="0" collapsed="false">
      <c r="A20" s="50" t="s">
        <v>146</v>
      </c>
      <c r="B20" s="50" t="s">
        <v>147</v>
      </c>
      <c r="C20" s="50" t="s">
        <v>95</v>
      </c>
      <c r="D20" s="50" t="n">
        <v>2</v>
      </c>
      <c r="E20" s="50" t="s">
        <v>96</v>
      </c>
      <c r="F20" s="50" t="s">
        <v>148</v>
      </c>
      <c r="G20" s="52" t="s">
        <v>149</v>
      </c>
      <c r="H20" s="50" t="n">
        <v>1</v>
      </c>
      <c r="I20" s="50"/>
      <c r="K20" s="50"/>
    </row>
    <row r="21" customFormat="false" ht="15" hidden="false" customHeight="false" outlineLevel="0" collapsed="false">
      <c r="A21" s="50" t="s">
        <v>150</v>
      </c>
      <c r="B21" s="50" t="s">
        <v>151</v>
      </c>
      <c r="C21" s="50" t="s">
        <v>95</v>
      </c>
      <c r="D21" s="50" t="n">
        <v>2</v>
      </c>
      <c r="E21" s="50" t="s">
        <v>96</v>
      </c>
      <c r="F21" s="50" t="s">
        <v>152</v>
      </c>
      <c r="G21" s="52" t="s">
        <v>153</v>
      </c>
      <c r="H21" s="50" t="n">
        <v>1</v>
      </c>
      <c r="I21" s="50"/>
      <c r="K21" s="50"/>
    </row>
    <row r="22" customFormat="false" ht="15" hidden="false" customHeight="false" outlineLevel="0" collapsed="false">
      <c r="A22" s="50" t="s">
        <v>154</v>
      </c>
      <c r="B22" s="50" t="s">
        <v>155</v>
      </c>
      <c r="C22" s="50" t="s">
        <v>95</v>
      </c>
      <c r="D22" s="50" t="n">
        <v>15</v>
      </c>
      <c r="E22" s="50" t="s">
        <v>113</v>
      </c>
      <c r="F22" s="50" t="s">
        <v>156</v>
      </c>
      <c r="G22" s="52" t="s">
        <v>157</v>
      </c>
      <c r="H22" s="50" t="n">
        <v>1</v>
      </c>
      <c r="I22" s="50"/>
      <c r="K22" s="50"/>
    </row>
    <row r="23" customFormat="false" ht="15" hidden="false" customHeight="false" outlineLevel="0" collapsed="false">
      <c r="A23" s="50" t="s">
        <v>158</v>
      </c>
      <c r="B23" s="50" t="s">
        <v>159</v>
      </c>
      <c r="C23" s="50" t="s">
        <v>95</v>
      </c>
      <c r="D23" s="50" t="n">
        <v>2</v>
      </c>
      <c r="E23" s="50" t="s">
        <v>96</v>
      </c>
      <c r="F23" s="50" t="s">
        <v>160</v>
      </c>
      <c r="G23" s="52" t="s">
        <v>157</v>
      </c>
      <c r="H23" s="50" t="n">
        <v>1</v>
      </c>
      <c r="I23" s="50"/>
      <c r="K23" s="50"/>
    </row>
    <row r="24" customFormat="false" ht="15" hidden="false" customHeight="false" outlineLevel="0" collapsed="false">
      <c r="A24" s="50" t="s">
        <v>161</v>
      </c>
      <c r="B24" s="50" t="s">
        <v>162</v>
      </c>
      <c r="C24" s="50" t="s">
        <v>95</v>
      </c>
      <c r="D24" s="50" t="n">
        <v>2</v>
      </c>
      <c r="E24" s="50" t="s">
        <v>96</v>
      </c>
      <c r="F24" s="50" t="s">
        <v>163</v>
      </c>
      <c r="G24" s="52" t="s">
        <v>164</v>
      </c>
      <c r="H24" s="50" t="n">
        <v>1</v>
      </c>
      <c r="I24" s="50"/>
      <c r="K24" s="50"/>
    </row>
    <row r="25" customFormat="false" ht="15" hidden="false" customHeight="false" outlineLevel="0" collapsed="false">
      <c r="A25" s="50" t="s">
        <v>165</v>
      </c>
      <c r="B25" s="50" t="s">
        <v>166</v>
      </c>
      <c r="C25" s="50" t="s">
        <v>95</v>
      </c>
      <c r="D25" s="50" t="n">
        <v>2</v>
      </c>
      <c r="E25" s="50" t="s">
        <v>96</v>
      </c>
      <c r="F25" s="50" t="s">
        <v>167</v>
      </c>
      <c r="G25" s="52" t="s">
        <v>168</v>
      </c>
      <c r="H25" s="50" t="n">
        <v>1</v>
      </c>
      <c r="I25" s="50"/>
      <c r="K25" s="50"/>
    </row>
    <row r="26" customFormat="false" ht="15" hidden="false" customHeight="false" outlineLevel="0" collapsed="false">
      <c r="A26" s="50" t="s">
        <v>169</v>
      </c>
      <c r="B26" s="50" t="s">
        <v>170</v>
      </c>
      <c r="C26" s="50" t="s">
        <v>95</v>
      </c>
      <c r="D26" s="50" t="n">
        <v>2</v>
      </c>
      <c r="E26" s="50" t="s">
        <v>96</v>
      </c>
      <c r="F26" s="50" t="s">
        <v>171</v>
      </c>
      <c r="G26" s="52" t="s">
        <v>164</v>
      </c>
      <c r="H26" s="50" t="n">
        <v>1</v>
      </c>
      <c r="I26" s="50"/>
      <c r="K26" s="50"/>
    </row>
    <row r="27" customFormat="false" ht="15" hidden="false" customHeight="false" outlineLevel="0" collapsed="false">
      <c r="A27" s="50" t="s">
        <v>172</v>
      </c>
      <c r="B27" s="50" t="s">
        <v>173</v>
      </c>
      <c r="C27" s="50" t="s">
        <v>95</v>
      </c>
      <c r="D27" s="50" t="n">
        <v>20</v>
      </c>
      <c r="E27" s="50" t="s">
        <v>113</v>
      </c>
      <c r="F27" s="50" t="s">
        <v>174</v>
      </c>
      <c r="G27" s="52" t="s">
        <v>168</v>
      </c>
      <c r="H27" s="50" t="n">
        <v>1</v>
      </c>
      <c r="I27" s="50"/>
      <c r="K27" s="50"/>
    </row>
    <row r="28" customFormat="false" ht="15" hidden="false" customHeight="false" outlineLevel="0" collapsed="false">
      <c r="A28" s="50" t="s">
        <v>175</v>
      </c>
      <c r="B28" s="50" t="s">
        <v>176</v>
      </c>
      <c r="C28" s="50" t="s">
        <v>95</v>
      </c>
      <c r="D28" s="50" t="n">
        <v>2</v>
      </c>
      <c r="E28" s="50" t="s">
        <v>96</v>
      </c>
      <c r="F28" s="50" t="s">
        <v>177</v>
      </c>
      <c r="G28" s="52" t="s">
        <v>164</v>
      </c>
      <c r="H28" s="50" t="n">
        <v>1</v>
      </c>
      <c r="I28" s="50"/>
      <c r="K28" s="50"/>
    </row>
    <row r="29" customFormat="false" ht="15" hidden="false" customHeight="false" outlineLevel="0" collapsed="false">
      <c r="A29" s="50" t="s">
        <v>178</v>
      </c>
      <c r="B29" s="50" t="s">
        <v>179</v>
      </c>
      <c r="C29" s="50" t="s">
        <v>95</v>
      </c>
      <c r="D29" s="50" t="n">
        <v>2</v>
      </c>
      <c r="E29" s="50" t="s">
        <v>96</v>
      </c>
      <c r="F29" s="50" t="s">
        <v>180</v>
      </c>
      <c r="G29" s="52" t="s">
        <v>164</v>
      </c>
      <c r="H29" s="50" t="n">
        <v>1</v>
      </c>
      <c r="I29" s="50"/>
      <c r="K29" s="50"/>
    </row>
    <row r="30" customFormat="false" ht="15" hidden="false" customHeight="false" outlineLevel="0" collapsed="false">
      <c r="A30" s="50" t="s">
        <v>181</v>
      </c>
      <c r="B30" s="50" t="s">
        <v>182</v>
      </c>
      <c r="C30" s="50" t="s">
        <v>95</v>
      </c>
      <c r="D30" s="50" t="n">
        <v>2</v>
      </c>
      <c r="E30" s="50" t="s">
        <v>96</v>
      </c>
      <c r="F30" s="50" t="s">
        <v>183</v>
      </c>
      <c r="G30" s="52" t="s">
        <v>184</v>
      </c>
      <c r="H30" s="50" t="n">
        <v>1</v>
      </c>
      <c r="I30" s="50"/>
      <c r="K30" s="50"/>
    </row>
    <row r="31" customFormat="false" ht="15" hidden="false" customHeight="false" outlineLevel="0" collapsed="false">
      <c r="A31" s="50" t="s">
        <v>185</v>
      </c>
      <c r="B31" s="50" t="s">
        <v>186</v>
      </c>
      <c r="C31" s="50" t="s">
        <v>95</v>
      </c>
      <c r="D31" s="50" t="n">
        <v>20</v>
      </c>
      <c r="E31" s="50" t="s">
        <v>113</v>
      </c>
      <c r="F31" s="50" t="s">
        <v>187</v>
      </c>
      <c r="G31" s="52" t="s">
        <v>164</v>
      </c>
      <c r="H31" s="50" t="n">
        <v>1</v>
      </c>
      <c r="I31" s="50"/>
      <c r="K31" s="50"/>
    </row>
    <row r="32" customFormat="false" ht="15" hidden="false" customHeight="false" outlineLevel="0" collapsed="false">
      <c r="A32" s="50" t="s">
        <v>188</v>
      </c>
      <c r="B32" s="50" t="s">
        <v>189</v>
      </c>
      <c r="C32" s="50" t="s">
        <v>95</v>
      </c>
      <c r="D32" s="50" t="n">
        <v>2</v>
      </c>
      <c r="E32" s="50" t="s">
        <v>96</v>
      </c>
      <c r="F32" s="50" t="s">
        <v>190</v>
      </c>
      <c r="G32" s="52" t="s">
        <v>191</v>
      </c>
      <c r="H32" s="50" t="n">
        <v>100</v>
      </c>
      <c r="I32" s="50"/>
      <c r="K32" s="50"/>
    </row>
    <row r="33" customFormat="false" ht="15" hidden="false" customHeight="false" outlineLevel="0" collapsed="false">
      <c r="A33" s="50" t="s">
        <v>192</v>
      </c>
      <c r="B33" s="50" t="s">
        <v>193</v>
      </c>
      <c r="C33" s="50" t="s">
        <v>95</v>
      </c>
      <c r="D33" s="50" t="n">
        <v>2</v>
      </c>
      <c r="E33" s="50" t="s">
        <v>96</v>
      </c>
      <c r="F33" s="50" t="s">
        <v>194</v>
      </c>
      <c r="G33" s="52" t="s">
        <v>195</v>
      </c>
      <c r="H33" s="50" t="n">
        <v>0</v>
      </c>
      <c r="I33" s="50"/>
      <c r="K33" s="50"/>
    </row>
    <row r="34" customFormat="false" ht="25.5" hidden="false" customHeight="false" outlineLevel="0" collapsed="false">
      <c r="A34" s="50" t="s">
        <v>196</v>
      </c>
      <c r="B34" s="50" t="s">
        <v>197</v>
      </c>
      <c r="C34" s="50" t="s">
        <v>95</v>
      </c>
      <c r="D34" s="50" t="n">
        <v>2</v>
      </c>
      <c r="E34" s="50" t="s">
        <v>96</v>
      </c>
      <c r="F34" s="50" t="s">
        <v>198</v>
      </c>
      <c r="G34" s="52" t="s">
        <v>199</v>
      </c>
      <c r="H34" s="50" t="n">
        <v>0</v>
      </c>
      <c r="I34" s="50"/>
      <c r="K34" s="50"/>
    </row>
    <row r="35" customFormat="false" ht="15" hidden="false" customHeight="false" outlineLevel="0" collapsed="false">
      <c r="A35" s="50" t="s">
        <v>200</v>
      </c>
      <c r="B35" s="50" t="s">
        <v>201</v>
      </c>
      <c r="C35" s="50" t="s">
        <v>95</v>
      </c>
      <c r="D35" s="50" t="n">
        <v>20</v>
      </c>
      <c r="E35" s="50" t="s">
        <v>113</v>
      </c>
      <c r="F35" s="50" t="s">
        <v>202</v>
      </c>
      <c r="G35" s="52" t="s">
        <v>203</v>
      </c>
      <c r="H35" s="50" t="n">
        <v>0</v>
      </c>
      <c r="I35" s="50"/>
      <c r="K35" s="50"/>
    </row>
    <row r="36" customFormat="false" ht="25.5" hidden="false" customHeight="false" outlineLevel="0" collapsed="false">
      <c r="A36" s="50" t="s">
        <v>204</v>
      </c>
      <c r="B36" s="50" t="s">
        <v>205</v>
      </c>
      <c r="C36" s="50" t="s">
        <v>95</v>
      </c>
      <c r="D36" s="50" t="n">
        <v>20</v>
      </c>
      <c r="E36" s="50" t="s">
        <v>113</v>
      </c>
      <c r="F36" s="50" t="s">
        <v>206</v>
      </c>
      <c r="G36" s="52" t="s">
        <v>207</v>
      </c>
      <c r="H36" s="50" t="n">
        <v>0</v>
      </c>
      <c r="I36" s="50"/>
      <c r="K36" s="50"/>
    </row>
    <row r="37" customFormat="false" ht="25.5" hidden="false" customHeight="false" outlineLevel="0" collapsed="false">
      <c r="A37" s="50" t="s">
        <v>208</v>
      </c>
      <c r="B37" s="50" t="s">
        <v>209</v>
      </c>
      <c r="C37" s="50" t="s">
        <v>95</v>
      </c>
      <c r="D37" s="50" t="n">
        <v>20</v>
      </c>
      <c r="E37" s="50" t="s">
        <v>113</v>
      </c>
      <c r="F37" s="50" t="s">
        <v>210</v>
      </c>
      <c r="G37" s="52" t="s">
        <v>211</v>
      </c>
      <c r="H37" s="50" t="n">
        <v>0</v>
      </c>
      <c r="I37" s="50"/>
      <c r="K37" s="50"/>
    </row>
    <row r="38" customFormat="false" ht="25.5" hidden="false" customHeight="false" outlineLevel="0" collapsed="false">
      <c r="A38" s="50" t="s">
        <v>212</v>
      </c>
      <c r="B38" s="50" t="s">
        <v>213</v>
      </c>
      <c r="C38" s="50" t="s">
        <v>95</v>
      </c>
      <c r="D38" s="50" t="n">
        <v>20</v>
      </c>
      <c r="E38" s="50" t="s">
        <v>113</v>
      </c>
      <c r="F38" s="50" t="s">
        <v>214</v>
      </c>
      <c r="G38" s="52" t="s">
        <v>215</v>
      </c>
      <c r="H38" s="50" t="n">
        <v>0</v>
      </c>
      <c r="I38" s="50"/>
      <c r="K38" s="50"/>
    </row>
    <row r="39" customFormat="false" ht="25.5" hidden="false" customHeight="false" outlineLevel="0" collapsed="false">
      <c r="A39" s="50" t="s">
        <v>216</v>
      </c>
      <c r="B39" s="50" t="s">
        <v>217</v>
      </c>
      <c r="C39" s="50" t="s">
        <v>95</v>
      </c>
      <c r="D39" s="50" t="n">
        <v>20</v>
      </c>
      <c r="E39" s="50" t="s">
        <v>113</v>
      </c>
      <c r="F39" s="50" t="s">
        <v>218</v>
      </c>
      <c r="G39" s="52" t="s">
        <v>219</v>
      </c>
      <c r="H39" s="50" t="n">
        <v>0</v>
      </c>
      <c r="I39" s="50"/>
      <c r="K39" s="50"/>
    </row>
    <row r="40" customFormat="false" ht="25.5" hidden="false" customHeight="false" outlineLevel="0" collapsed="false">
      <c r="A40" s="50" t="s">
        <v>220</v>
      </c>
      <c r="B40" s="50" t="s">
        <v>221</v>
      </c>
      <c r="C40" s="50" t="s">
        <v>95</v>
      </c>
      <c r="D40" s="50" t="n">
        <v>20</v>
      </c>
      <c r="E40" s="50" t="s">
        <v>113</v>
      </c>
      <c r="F40" s="50" t="s">
        <v>222</v>
      </c>
      <c r="G40" s="52" t="s">
        <v>223</v>
      </c>
      <c r="H40" s="50" t="n">
        <v>0</v>
      </c>
      <c r="I40" s="50"/>
      <c r="K40" s="50"/>
    </row>
    <row r="41" customFormat="false" ht="25.5" hidden="false" customHeight="false" outlineLevel="0" collapsed="false">
      <c r="A41" s="50" t="s">
        <v>224</v>
      </c>
      <c r="B41" s="50" t="s">
        <v>225</v>
      </c>
      <c r="C41" s="50" t="s">
        <v>95</v>
      </c>
      <c r="D41" s="50" t="n">
        <v>20</v>
      </c>
      <c r="E41" s="50" t="s">
        <v>113</v>
      </c>
      <c r="F41" s="50" t="s">
        <v>226</v>
      </c>
      <c r="G41" s="52" t="s">
        <v>227</v>
      </c>
      <c r="H41" s="50" t="n">
        <v>0</v>
      </c>
      <c r="I41" s="50"/>
      <c r="K41" s="50"/>
    </row>
    <row r="42" customFormat="false" ht="15" hidden="false" customHeight="false" outlineLevel="0" collapsed="false">
      <c r="A42" s="50" t="s">
        <v>228</v>
      </c>
      <c r="B42" s="50" t="s">
        <v>229</v>
      </c>
      <c r="C42" s="50" t="s">
        <v>95</v>
      </c>
      <c r="D42" s="50" t="n">
        <v>2</v>
      </c>
      <c r="E42" s="50" t="s">
        <v>96</v>
      </c>
      <c r="F42" s="50" t="s">
        <v>230</v>
      </c>
      <c r="G42" s="52" t="s">
        <v>231</v>
      </c>
      <c r="H42" s="50" t="n">
        <v>10</v>
      </c>
      <c r="I42" s="50"/>
      <c r="K42" s="50"/>
    </row>
    <row r="43" customFormat="false" ht="15" hidden="false" customHeight="false" outlineLevel="0" collapsed="false">
      <c r="A43" s="50" t="s">
        <v>232</v>
      </c>
      <c r="B43" s="50" t="s">
        <v>233</v>
      </c>
      <c r="C43" s="50" t="s">
        <v>95</v>
      </c>
      <c r="D43" s="50" t="n">
        <v>2</v>
      </c>
      <c r="E43" s="50" t="s">
        <v>96</v>
      </c>
      <c r="F43" s="50" t="s">
        <v>234</v>
      </c>
      <c r="G43" s="52" t="s">
        <v>235</v>
      </c>
      <c r="H43" s="50" t="n">
        <v>10</v>
      </c>
      <c r="I43" s="50"/>
      <c r="K43" s="50"/>
    </row>
    <row r="44" customFormat="false" ht="15" hidden="false" customHeight="false" outlineLevel="0" collapsed="false">
      <c r="A44" s="50" t="s">
        <v>236</v>
      </c>
      <c r="B44" s="50" t="s">
        <v>237</v>
      </c>
      <c r="C44" s="50" t="s">
        <v>238</v>
      </c>
      <c r="D44" s="50" t="n">
        <v>2</v>
      </c>
      <c r="E44" s="50" t="s">
        <v>96</v>
      </c>
      <c r="F44" s="50" t="s">
        <v>239</v>
      </c>
      <c r="G44" s="52" t="s">
        <v>240</v>
      </c>
      <c r="H44" s="50" t="n">
        <v>1</v>
      </c>
      <c r="I44" s="50"/>
      <c r="K44" s="50"/>
    </row>
    <row r="45" customFormat="false" ht="15" hidden="false" customHeight="false" outlineLevel="0" collapsed="false">
      <c r="A45" s="50" t="s">
        <v>241</v>
      </c>
      <c r="B45" s="50" t="s">
        <v>242</v>
      </c>
      <c r="C45" s="50" t="s">
        <v>238</v>
      </c>
      <c r="D45" s="50" t="n">
        <v>2</v>
      </c>
      <c r="E45" s="50" t="s">
        <v>96</v>
      </c>
      <c r="F45" s="50" t="s">
        <v>243</v>
      </c>
      <c r="G45" s="52" t="s">
        <v>244</v>
      </c>
      <c r="H45" s="50" t="n">
        <v>1</v>
      </c>
      <c r="I45" s="50"/>
      <c r="K45" s="50"/>
    </row>
    <row r="46" customFormat="false" ht="15" hidden="false" customHeight="false" outlineLevel="0" collapsed="false">
      <c r="A46" s="50" t="s">
        <v>245</v>
      </c>
      <c r="B46" s="50" t="s">
        <v>246</v>
      </c>
      <c r="C46" s="50" t="s">
        <v>95</v>
      </c>
      <c r="D46" s="50" t="n">
        <v>2</v>
      </c>
      <c r="E46" s="50" t="s">
        <v>96</v>
      </c>
      <c r="F46" s="50" t="s">
        <v>247</v>
      </c>
      <c r="G46" s="52" t="s">
        <v>248</v>
      </c>
      <c r="H46" s="50" t="n">
        <v>40</v>
      </c>
      <c r="I46" s="50"/>
      <c r="K46" s="50"/>
    </row>
    <row r="47" customFormat="false" ht="15" hidden="false" customHeight="false" outlineLevel="0" collapsed="false">
      <c r="A47" s="50" t="s">
        <v>249</v>
      </c>
      <c r="B47" s="50" t="s">
        <v>250</v>
      </c>
      <c r="C47" s="50" t="s">
        <v>95</v>
      </c>
      <c r="D47" s="50" t="n">
        <v>2</v>
      </c>
      <c r="E47" s="50" t="s">
        <v>96</v>
      </c>
      <c r="F47" s="50" t="s">
        <v>251</v>
      </c>
      <c r="G47" s="52" t="s">
        <v>252</v>
      </c>
      <c r="H47" s="50" t="n">
        <v>24</v>
      </c>
      <c r="I47" s="50"/>
      <c r="K47" s="50"/>
    </row>
    <row r="48" customFormat="false" ht="15" hidden="false" customHeight="false" outlineLevel="0" collapsed="false">
      <c r="A48" s="50" t="s">
        <v>253</v>
      </c>
      <c r="B48" s="50" t="s">
        <v>254</v>
      </c>
      <c r="C48" s="50" t="s">
        <v>95</v>
      </c>
      <c r="D48" s="50" t="n">
        <v>2</v>
      </c>
      <c r="E48" s="50" t="s">
        <v>96</v>
      </c>
      <c r="F48" s="50" t="s">
        <v>255</v>
      </c>
      <c r="G48" s="52" t="s">
        <v>256</v>
      </c>
      <c r="H48" s="50" t="n">
        <v>16</v>
      </c>
      <c r="I48" s="50"/>
      <c r="K48" s="50"/>
    </row>
    <row r="49" customFormat="false" ht="15" hidden="false" customHeight="false" outlineLevel="0" collapsed="false">
      <c r="A49" s="50" t="s">
        <v>257</v>
      </c>
      <c r="B49" s="50" t="s">
        <v>258</v>
      </c>
      <c r="C49" s="50" t="s">
        <v>95</v>
      </c>
      <c r="D49" s="50" t="n">
        <v>2</v>
      </c>
      <c r="E49" s="50" t="s">
        <v>96</v>
      </c>
      <c r="F49" s="50" t="s">
        <v>259</v>
      </c>
      <c r="G49" s="52" t="s">
        <v>260</v>
      </c>
      <c r="H49" s="50" t="n">
        <v>5</v>
      </c>
      <c r="I49" s="50"/>
      <c r="K49" s="50"/>
    </row>
    <row r="50" customFormat="false" ht="15" hidden="false" customHeight="false" outlineLevel="0" collapsed="false">
      <c r="A50" s="50" t="s">
        <v>261</v>
      </c>
      <c r="B50" s="50" t="s">
        <v>262</v>
      </c>
      <c r="C50" s="50" t="s">
        <v>95</v>
      </c>
      <c r="D50" s="50" t="n">
        <v>2</v>
      </c>
      <c r="E50" s="50" t="s">
        <v>96</v>
      </c>
      <c r="F50" s="50" t="s">
        <v>263</v>
      </c>
      <c r="G50" s="52" t="s">
        <v>264</v>
      </c>
      <c r="H50" s="50" t="n">
        <v>0</v>
      </c>
      <c r="I50" s="50"/>
      <c r="K50" s="50"/>
    </row>
    <row r="51" customFormat="false" ht="15" hidden="false" customHeight="false" outlineLevel="0" collapsed="false">
      <c r="A51" s="50" t="s">
        <v>265</v>
      </c>
      <c r="B51" s="50" t="s">
        <v>266</v>
      </c>
      <c r="C51" s="50" t="s">
        <v>95</v>
      </c>
      <c r="D51" s="50" t="n">
        <v>2</v>
      </c>
      <c r="E51" s="50" t="s">
        <v>96</v>
      </c>
      <c r="F51" s="50" t="s">
        <v>267</v>
      </c>
      <c r="G51" s="52" t="s">
        <v>268</v>
      </c>
      <c r="H51" s="50" t="n">
        <v>40</v>
      </c>
      <c r="I51" s="50"/>
      <c r="K51" s="50"/>
    </row>
    <row r="52" customFormat="false" ht="15" hidden="false" customHeight="false" outlineLevel="0" collapsed="false">
      <c r="A52" s="50" t="s">
        <v>269</v>
      </c>
      <c r="B52" s="50" t="s">
        <v>270</v>
      </c>
      <c r="C52" s="50" t="s">
        <v>95</v>
      </c>
      <c r="D52" s="50" t="n">
        <v>2</v>
      </c>
      <c r="E52" s="50" t="s">
        <v>96</v>
      </c>
      <c r="F52" s="50" t="s">
        <v>271</v>
      </c>
      <c r="G52" s="52" t="s">
        <v>272</v>
      </c>
      <c r="H52" s="50" t="n">
        <v>50</v>
      </c>
      <c r="I52" s="50"/>
      <c r="K52" s="50"/>
    </row>
    <row r="53" customFormat="false" ht="15" hidden="false" customHeight="false" outlineLevel="0" collapsed="false">
      <c r="A53" s="50" t="s">
        <v>273</v>
      </c>
      <c r="B53" s="50" t="s">
        <v>274</v>
      </c>
      <c r="C53" s="50" t="s">
        <v>95</v>
      </c>
      <c r="D53" s="50" t="n">
        <v>2</v>
      </c>
      <c r="E53" s="50" t="s">
        <v>96</v>
      </c>
      <c r="F53" s="50" t="s">
        <v>275</v>
      </c>
      <c r="G53" s="52" t="s">
        <v>276</v>
      </c>
      <c r="H53" s="50" t="n">
        <v>50</v>
      </c>
      <c r="I53" s="50"/>
      <c r="K53" s="50"/>
    </row>
    <row r="54" customFormat="false" ht="25.5" hidden="false" customHeight="false" outlineLevel="0" collapsed="false">
      <c r="A54" s="50" t="s">
        <v>277</v>
      </c>
      <c r="B54" s="50" t="s">
        <v>278</v>
      </c>
      <c r="C54" s="50" t="s">
        <v>95</v>
      </c>
      <c r="D54" s="50" t="n">
        <v>2</v>
      </c>
      <c r="E54" s="50" t="s">
        <v>96</v>
      </c>
      <c r="F54" s="50" t="s">
        <v>279</v>
      </c>
      <c r="G54" s="52" t="s">
        <v>280</v>
      </c>
      <c r="H54" s="50" t="n">
        <v>1</v>
      </c>
      <c r="I54" s="50"/>
      <c r="K54" s="50"/>
    </row>
    <row r="55" customFormat="false" ht="25.5" hidden="false" customHeight="false" outlineLevel="0" collapsed="false">
      <c r="A55" s="50" t="s">
        <v>281</v>
      </c>
      <c r="B55" s="50" t="s">
        <v>282</v>
      </c>
      <c r="C55" s="50" t="s">
        <v>95</v>
      </c>
      <c r="D55" s="50" t="n">
        <v>2</v>
      </c>
      <c r="E55" s="50" t="s">
        <v>96</v>
      </c>
      <c r="F55" s="50" t="s">
        <v>283</v>
      </c>
      <c r="G55" s="52" t="s">
        <v>284</v>
      </c>
      <c r="H55" s="50" t="n">
        <v>1</v>
      </c>
      <c r="I55" s="50"/>
      <c r="K55" s="50"/>
    </row>
    <row r="56" customFormat="false" ht="15" hidden="false" customHeight="false" outlineLevel="0" collapsed="false">
      <c r="A56" s="50" t="s">
        <v>285</v>
      </c>
      <c r="B56" s="50" t="s">
        <v>286</v>
      </c>
      <c r="C56" s="50" t="s">
        <v>95</v>
      </c>
      <c r="D56" s="50" t="n">
        <v>2</v>
      </c>
      <c r="E56" s="50" t="s">
        <v>96</v>
      </c>
      <c r="F56" s="50" t="s">
        <v>287</v>
      </c>
      <c r="G56" s="52" t="s">
        <v>288</v>
      </c>
      <c r="H56" s="50" t="n">
        <v>15</v>
      </c>
      <c r="I56" s="50"/>
      <c r="K56" s="50"/>
    </row>
    <row r="57" customFormat="false" ht="15" hidden="false" customHeight="false" outlineLevel="0" collapsed="false">
      <c r="A57" s="50" t="s">
        <v>289</v>
      </c>
      <c r="B57" s="50" t="s">
        <v>290</v>
      </c>
      <c r="C57" s="50" t="s">
        <v>95</v>
      </c>
      <c r="D57" s="50" t="n">
        <v>2</v>
      </c>
      <c r="E57" s="50" t="s">
        <v>96</v>
      </c>
      <c r="F57" s="50" t="s">
        <v>291</v>
      </c>
      <c r="G57" s="52" t="s">
        <v>292</v>
      </c>
      <c r="H57" s="50" t="n">
        <v>100</v>
      </c>
      <c r="I57" s="50"/>
      <c r="K57" s="50"/>
    </row>
    <row r="58" customFormat="false" ht="15" hidden="false" customHeight="false" outlineLevel="0" collapsed="false">
      <c r="A58" s="50" t="s">
        <v>293</v>
      </c>
      <c r="B58" s="50" t="s">
        <v>294</v>
      </c>
      <c r="C58" s="50" t="s">
        <v>95</v>
      </c>
      <c r="D58" s="50" t="n">
        <v>2</v>
      </c>
      <c r="E58" s="50" t="s">
        <v>96</v>
      </c>
      <c r="F58" s="50" t="s">
        <v>295</v>
      </c>
      <c r="G58" s="52" t="s">
        <v>296</v>
      </c>
      <c r="H58" s="50" t="n">
        <v>1</v>
      </c>
      <c r="I58" s="50"/>
      <c r="K58" s="50"/>
    </row>
    <row r="59" customFormat="false" ht="15" hidden="false" customHeight="false" outlineLevel="0" collapsed="false">
      <c r="A59" s="50" t="s">
        <v>297</v>
      </c>
      <c r="B59" s="50" t="s">
        <v>298</v>
      </c>
      <c r="C59" s="50" t="s">
        <v>95</v>
      </c>
      <c r="D59" s="50" t="n">
        <v>2</v>
      </c>
      <c r="E59" s="50" t="s">
        <v>96</v>
      </c>
      <c r="F59" s="50" t="s">
        <v>299</v>
      </c>
      <c r="G59" s="52" t="s">
        <v>300</v>
      </c>
      <c r="H59" s="50" t="n">
        <v>1</v>
      </c>
      <c r="I59" s="50"/>
      <c r="K59" s="50"/>
    </row>
    <row r="60" customFormat="false" ht="15" hidden="false" customHeight="false" outlineLevel="0" collapsed="false">
      <c r="A60" s="50" t="s">
        <v>301</v>
      </c>
      <c r="B60" s="50" t="s">
        <v>302</v>
      </c>
      <c r="C60" s="50" t="s">
        <v>95</v>
      </c>
      <c r="D60" s="50" t="n">
        <v>2</v>
      </c>
      <c r="E60" s="50" t="s">
        <v>96</v>
      </c>
      <c r="F60" s="50" t="s">
        <v>303</v>
      </c>
      <c r="G60" s="52" t="s">
        <v>304</v>
      </c>
      <c r="H60" s="50" t="n">
        <v>1</v>
      </c>
      <c r="I60" s="50"/>
      <c r="K60" s="50"/>
    </row>
    <row r="61" customFormat="false" ht="15" hidden="false" customHeight="false" outlineLevel="0" collapsed="false">
      <c r="A61" s="50" t="s">
        <v>305</v>
      </c>
      <c r="B61" s="50" t="s">
        <v>306</v>
      </c>
      <c r="C61" s="50" t="s">
        <v>95</v>
      </c>
      <c r="D61" s="50" t="n">
        <v>2</v>
      </c>
      <c r="E61" s="50" t="s">
        <v>96</v>
      </c>
      <c r="F61" s="50" t="s">
        <v>307</v>
      </c>
      <c r="G61" s="52" t="s">
        <v>308</v>
      </c>
      <c r="H61" s="50" t="n">
        <v>0</v>
      </c>
      <c r="I61" s="50"/>
      <c r="K61" s="50"/>
    </row>
    <row r="62" customFormat="false" ht="15" hidden="false" customHeight="false" outlineLevel="0" collapsed="false">
      <c r="A62" s="50" t="s">
        <v>309</v>
      </c>
      <c r="B62" s="50" t="s">
        <v>310</v>
      </c>
      <c r="C62" s="50" t="s">
        <v>95</v>
      </c>
      <c r="D62" s="50" t="n">
        <v>2</v>
      </c>
      <c r="E62" s="50" t="s">
        <v>96</v>
      </c>
      <c r="F62" s="50" t="s">
        <v>311</v>
      </c>
      <c r="G62" s="52" t="s">
        <v>308</v>
      </c>
      <c r="H62" s="50" t="n">
        <v>0</v>
      </c>
      <c r="I62" s="50"/>
      <c r="K62" s="50"/>
    </row>
    <row r="63" customFormat="false" ht="15" hidden="false" customHeight="false" outlineLevel="0" collapsed="false">
      <c r="A63" s="50" t="s">
        <v>312</v>
      </c>
      <c r="B63" s="50" t="s">
        <v>313</v>
      </c>
      <c r="C63" s="50" t="s">
        <v>95</v>
      </c>
      <c r="D63" s="50" t="n">
        <v>2</v>
      </c>
      <c r="E63" s="50" t="s">
        <v>96</v>
      </c>
      <c r="F63" s="50" t="s">
        <v>314</v>
      </c>
      <c r="G63" s="52" t="s">
        <v>308</v>
      </c>
      <c r="H63" s="50" t="n">
        <v>0</v>
      </c>
      <c r="I63" s="50"/>
      <c r="K63" s="50"/>
    </row>
    <row r="64" customFormat="false" ht="15" hidden="false" customHeight="false" outlineLevel="0" collapsed="false">
      <c r="A64" s="50" t="s">
        <v>315</v>
      </c>
      <c r="B64" s="50" t="s">
        <v>316</v>
      </c>
      <c r="C64" s="50" t="s">
        <v>95</v>
      </c>
      <c r="D64" s="50" t="n">
        <v>2</v>
      </c>
      <c r="E64" s="50" t="s">
        <v>96</v>
      </c>
      <c r="F64" s="50" t="s">
        <v>317</v>
      </c>
      <c r="G64" s="52" t="s">
        <v>318</v>
      </c>
      <c r="H64" s="50" t="n">
        <v>0</v>
      </c>
      <c r="I64" s="50"/>
      <c r="K64" s="50"/>
    </row>
    <row r="65" customFormat="false" ht="15" hidden="false" customHeight="false" outlineLevel="0" collapsed="false">
      <c r="A65" s="50" t="s">
        <v>319</v>
      </c>
      <c r="B65" s="50" t="s">
        <v>320</v>
      </c>
      <c r="C65" s="50" t="s">
        <v>95</v>
      </c>
      <c r="D65" s="50" t="n">
        <v>2</v>
      </c>
      <c r="E65" s="50" t="s">
        <v>96</v>
      </c>
      <c r="F65" s="50" t="s">
        <v>321</v>
      </c>
      <c r="G65" s="52" t="s">
        <v>322</v>
      </c>
      <c r="H65" s="50" t="n">
        <v>0</v>
      </c>
      <c r="I65" s="50"/>
      <c r="K65" s="50"/>
    </row>
    <row r="66" customFormat="false" ht="15" hidden="false" customHeight="false" outlineLevel="0" collapsed="false">
      <c r="A66" s="50" t="s">
        <v>323</v>
      </c>
      <c r="B66" s="50" t="s">
        <v>324</v>
      </c>
      <c r="C66" s="50" t="s">
        <v>95</v>
      </c>
      <c r="D66" s="50" t="n">
        <v>2</v>
      </c>
      <c r="E66" s="50" t="s">
        <v>96</v>
      </c>
      <c r="F66" s="50" t="s">
        <v>325</v>
      </c>
      <c r="G66" s="52" t="s">
        <v>326</v>
      </c>
      <c r="H66" s="50" t="n">
        <v>0</v>
      </c>
      <c r="I66" s="50"/>
      <c r="K66" s="50"/>
    </row>
    <row r="67" customFormat="false" ht="15" hidden="false" customHeight="false" outlineLevel="0" collapsed="false">
      <c r="A67" s="50" t="s">
        <v>327</v>
      </c>
      <c r="B67" s="50" t="s">
        <v>328</v>
      </c>
      <c r="C67" s="50" t="s">
        <v>95</v>
      </c>
      <c r="D67" s="50" t="n">
        <v>2</v>
      </c>
      <c r="E67" s="50" t="s">
        <v>96</v>
      </c>
      <c r="F67" s="50" t="s">
        <v>329</v>
      </c>
      <c r="G67" s="52" t="s">
        <v>330</v>
      </c>
      <c r="H67" s="50" t="n">
        <v>0</v>
      </c>
      <c r="I67" s="50"/>
      <c r="K67" s="50"/>
    </row>
    <row r="68" customFormat="false" ht="15" hidden="false" customHeight="false" outlineLevel="0" collapsed="false">
      <c r="A68" s="50" t="s">
        <v>331</v>
      </c>
      <c r="B68" s="50" t="s">
        <v>332</v>
      </c>
      <c r="C68" s="50" t="s">
        <v>95</v>
      </c>
      <c r="D68" s="50" t="n">
        <v>2</v>
      </c>
      <c r="E68" s="50" t="s">
        <v>96</v>
      </c>
      <c r="F68" s="50" t="s">
        <v>333</v>
      </c>
      <c r="G68" s="52" t="s">
        <v>334</v>
      </c>
      <c r="H68" s="50" t="n">
        <v>0</v>
      </c>
      <c r="I68" s="50"/>
      <c r="K68" s="50"/>
    </row>
    <row r="69" customFormat="false" ht="15" hidden="false" customHeight="false" outlineLevel="0" collapsed="false">
      <c r="A69" s="50" t="s">
        <v>335</v>
      </c>
      <c r="B69" s="50" t="s">
        <v>336</v>
      </c>
      <c r="C69" s="50" t="s">
        <v>95</v>
      </c>
      <c r="D69" s="50" t="n">
        <v>2</v>
      </c>
      <c r="E69" s="50" t="s">
        <v>96</v>
      </c>
      <c r="F69" s="50" t="s">
        <v>337</v>
      </c>
      <c r="G69" s="52" t="s">
        <v>338</v>
      </c>
      <c r="H69" s="50" t="n">
        <v>10</v>
      </c>
      <c r="I69" s="50"/>
      <c r="K69" s="50"/>
    </row>
    <row r="70" customFormat="false" ht="15" hidden="false" customHeight="false" outlineLevel="0" collapsed="false">
      <c r="A70" s="50" t="s">
        <v>339</v>
      </c>
      <c r="B70" s="50" t="s">
        <v>340</v>
      </c>
      <c r="C70" s="50" t="s">
        <v>95</v>
      </c>
      <c r="D70" s="50" t="n">
        <v>2</v>
      </c>
      <c r="E70" s="50" t="s">
        <v>96</v>
      </c>
      <c r="F70" s="50" t="s">
        <v>341</v>
      </c>
      <c r="G70" s="52" t="s">
        <v>342</v>
      </c>
      <c r="H70" s="50" t="n">
        <v>10</v>
      </c>
      <c r="I70" s="50"/>
      <c r="K70" s="50"/>
    </row>
    <row r="71" customFormat="false" ht="15" hidden="false" customHeight="false" outlineLevel="0" collapsed="false">
      <c r="A71" s="50" t="s">
        <v>343</v>
      </c>
      <c r="B71" s="50" t="s">
        <v>344</v>
      </c>
      <c r="C71" s="50" t="s">
        <v>95</v>
      </c>
      <c r="D71" s="50" t="n">
        <v>2</v>
      </c>
      <c r="E71" s="50" t="s">
        <v>96</v>
      </c>
      <c r="F71" s="50" t="s">
        <v>345</v>
      </c>
      <c r="G71" s="52" t="s">
        <v>346</v>
      </c>
      <c r="H71" s="50" t="n">
        <v>10</v>
      </c>
      <c r="I71" s="50"/>
      <c r="K71" s="50"/>
    </row>
    <row r="72" customFormat="false" ht="15" hidden="false" customHeight="false" outlineLevel="0" collapsed="false">
      <c r="A72" s="50" t="s">
        <v>347</v>
      </c>
      <c r="B72" s="50" t="s">
        <v>348</v>
      </c>
      <c r="C72" s="50" t="s">
        <v>95</v>
      </c>
      <c r="D72" s="50" t="n">
        <v>2</v>
      </c>
      <c r="E72" s="50" t="s">
        <v>96</v>
      </c>
      <c r="F72" s="50" t="s">
        <v>349</v>
      </c>
      <c r="G72" s="52" t="s">
        <v>350</v>
      </c>
      <c r="H72" s="50" t="n">
        <v>10</v>
      </c>
      <c r="I72" s="50"/>
      <c r="K72" s="50"/>
    </row>
    <row r="73" customFormat="false" ht="15" hidden="false" customHeight="false" outlineLevel="0" collapsed="false">
      <c r="A73" s="50" t="s">
        <v>351</v>
      </c>
      <c r="B73" s="50" t="s">
        <v>352</v>
      </c>
      <c r="C73" s="50" t="s">
        <v>95</v>
      </c>
      <c r="D73" s="50" t="n">
        <v>2</v>
      </c>
      <c r="E73" s="50" t="s">
        <v>96</v>
      </c>
      <c r="F73" s="50" t="s">
        <v>353</v>
      </c>
      <c r="G73" s="52" t="s">
        <v>354</v>
      </c>
      <c r="H73" s="50" t="n">
        <v>10</v>
      </c>
      <c r="I73" s="50"/>
      <c r="K73" s="50"/>
    </row>
    <row r="74" customFormat="false" ht="25.5" hidden="false" customHeight="false" outlineLevel="0" collapsed="false">
      <c r="A74" s="50" t="s">
        <v>355</v>
      </c>
      <c r="B74" s="50" t="s">
        <v>356</v>
      </c>
      <c r="C74" s="50" t="s">
        <v>95</v>
      </c>
      <c r="D74" s="50" t="n">
        <v>20</v>
      </c>
      <c r="E74" s="50" t="s">
        <v>113</v>
      </c>
      <c r="F74" s="50" t="s">
        <v>357</v>
      </c>
      <c r="G74" s="52" t="s">
        <v>358</v>
      </c>
      <c r="H74" s="50" t="n">
        <v>10</v>
      </c>
      <c r="I74" s="50"/>
      <c r="K74" s="50"/>
    </row>
    <row r="75" customFormat="false" ht="15" hidden="false" customHeight="false" outlineLevel="0" collapsed="false">
      <c r="A75" s="50" t="s">
        <v>359</v>
      </c>
      <c r="B75" s="50" t="s">
        <v>360</v>
      </c>
      <c r="C75" s="50" t="s">
        <v>95</v>
      </c>
      <c r="D75" s="50" t="n">
        <v>20</v>
      </c>
      <c r="E75" s="50" t="s">
        <v>113</v>
      </c>
      <c r="F75" s="50" t="s">
        <v>361</v>
      </c>
      <c r="G75" s="52" t="s">
        <v>362</v>
      </c>
      <c r="H75" s="50" t="n">
        <v>10</v>
      </c>
      <c r="I75" s="50"/>
      <c r="K75" s="50"/>
    </row>
    <row r="76" customFormat="false" ht="15" hidden="false" customHeight="false" outlineLevel="0" collapsed="false">
      <c r="A76" s="50" t="s">
        <v>363</v>
      </c>
      <c r="B76" s="50" t="s">
        <v>364</v>
      </c>
      <c r="C76" s="50" t="s">
        <v>95</v>
      </c>
      <c r="D76" s="50" t="n">
        <v>20</v>
      </c>
      <c r="E76" s="50" t="s">
        <v>113</v>
      </c>
      <c r="F76" s="50" t="s">
        <v>365</v>
      </c>
      <c r="G76" s="52" t="s">
        <v>366</v>
      </c>
      <c r="H76" s="50" t="n">
        <v>10</v>
      </c>
      <c r="I76" s="50"/>
      <c r="K76" s="50"/>
    </row>
    <row r="77" customFormat="false" ht="15" hidden="false" customHeight="false" outlineLevel="0" collapsed="false">
      <c r="A77" s="50" t="s">
        <v>367</v>
      </c>
      <c r="B77" s="50" t="s">
        <v>368</v>
      </c>
      <c r="C77" s="50" t="s">
        <v>95</v>
      </c>
      <c r="D77" s="50" t="n">
        <v>20</v>
      </c>
      <c r="E77" s="50" t="s">
        <v>113</v>
      </c>
      <c r="F77" s="50" t="s">
        <v>369</v>
      </c>
      <c r="G77" s="52" t="s">
        <v>370</v>
      </c>
      <c r="H77" s="50" t="n">
        <v>10</v>
      </c>
      <c r="I77" s="50"/>
      <c r="K77" s="50"/>
    </row>
    <row r="78" customFormat="false" ht="15" hidden="false" customHeight="false" outlineLevel="0" collapsed="false">
      <c r="A78" s="50" t="s">
        <v>371</v>
      </c>
      <c r="B78" s="50" t="s">
        <v>372</v>
      </c>
      <c r="C78" s="50" t="s">
        <v>95</v>
      </c>
      <c r="D78" s="50" t="n">
        <v>2</v>
      </c>
      <c r="E78" s="50" t="s">
        <v>96</v>
      </c>
      <c r="F78" s="50" t="s">
        <v>373</v>
      </c>
      <c r="G78" s="52" t="s">
        <v>374</v>
      </c>
      <c r="H78" s="50" t="n">
        <v>10</v>
      </c>
      <c r="I78" s="50"/>
      <c r="K78" s="50"/>
    </row>
    <row r="79" customFormat="false" ht="15" hidden="false" customHeight="false" outlineLevel="0" collapsed="false">
      <c r="A79" s="50" t="s">
        <v>375</v>
      </c>
      <c r="B79" s="50" t="s">
        <v>376</v>
      </c>
      <c r="C79" s="50" t="s">
        <v>95</v>
      </c>
      <c r="D79" s="50" t="n">
        <v>2</v>
      </c>
      <c r="E79" s="50" t="s">
        <v>96</v>
      </c>
      <c r="F79" s="50" t="s">
        <v>377</v>
      </c>
      <c r="G79" s="52" t="s">
        <v>378</v>
      </c>
      <c r="H79" s="50" t="n">
        <v>10</v>
      </c>
      <c r="I79" s="50"/>
      <c r="K79" s="50"/>
    </row>
    <row r="80" customFormat="false" ht="15" hidden="false" customHeight="false" outlineLevel="0" collapsed="false">
      <c r="A80" s="50" t="s">
        <v>379</v>
      </c>
      <c r="B80" s="50" t="s">
        <v>380</v>
      </c>
      <c r="C80" s="50" t="s">
        <v>95</v>
      </c>
      <c r="D80" s="50" t="n">
        <v>2</v>
      </c>
      <c r="E80" s="50" t="s">
        <v>96</v>
      </c>
      <c r="F80" s="50" t="s">
        <v>381</v>
      </c>
      <c r="G80" s="52" t="s">
        <v>382</v>
      </c>
      <c r="H80" s="50" t="n">
        <v>10</v>
      </c>
      <c r="I80" s="50"/>
      <c r="K80" s="50"/>
    </row>
    <row r="81" customFormat="false" ht="15" hidden="false" customHeight="false" outlineLevel="0" collapsed="false">
      <c r="A81" s="50" t="s">
        <v>383</v>
      </c>
      <c r="B81" s="50" t="s">
        <v>384</v>
      </c>
      <c r="C81" s="50" t="s">
        <v>95</v>
      </c>
      <c r="D81" s="50" t="n">
        <v>2</v>
      </c>
      <c r="E81" s="50" t="s">
        <v>96</v>
      </c>
      <c r="F81" s="50" t="s">
        <v>385</v>
      </c>
      <c r="G81" s="52" t="s">
        <v>386</v>
      </c>
      <c r="H81" s="50" t="n">
        <v>10</v>
      </c>
      <c r="I81" s="50"/>
      <c r="K81" s="50"/>
    </row>
    <row r="82" customFormat="false" ht="15" hidden="false" customHeight="false" outlineLevel="0" collapsed="false">
      <c r="A82" s="50" t="s">
        <v>387</v>
      </c>
      <c r="B82" s="50" t="s">
        <v>388</v>
      </c>
      <c r="C82" s="50" t="s">
        <v>95</v>
      </c>
      <c r="D82" s="50" t="n">
        <v>2</v>
      </c>
      <c r="E82" s="50" t="s">
        <v>96</v>
      </c>
      <c r="F82" s="50" t="s">
        <v>389</v>
      </c>
      <c r="G82" s="52" t="s">
        <v>390</v>
      </c>
      <c r="H82" s="50" t="n">
        <v>10</v>
      </c>
      <c r="I82" s="50"/>
      <c r="K82" s="50"/>
    </row>
    <row r="83" customFormat="false" ht="25.5" hidden="false" customHeight="false" outlineLevel="0" collapsed="false">
      <c r="A83" s="50" t="s">
        <v>391</v>
      </c>
      <c r="B83" s="50" t="s">
        <v>392</v>
      </c>
      <c r="C83" s="50" t="s">
        <v>95</v>
      </c>
      <c r="D83" s="50" t="n">
        <v>20</v>
      </c>
      <c r="E83" s="50" t="s">
        <v>113</v>
      </c>
      <c r="F83" s="50" t="s">
        <v>393</v>
      </c>
      <c r="G83" s="52" t="s">
        <v>394</v>
      </c>
      <c r="H83" s="50" t="n">
        <v>10</v>
      </c>
      <c r="I83" s="50"/>
      <c r="K83" s="50"/>
    </row>
    <row r="84" customFormat="false" ht="15" hidden="false" customHeight="false" outlineLevel="0" collapsed="false">
      <c r="A84" s="50" t="s">
        <v>395</v>
      </c>
      <c r="B84" s="50" t="s">
        <v>396</v>
      </c>
      <c r="C84" s="50" t="s">
        <v>95</v>
      </c>
      <c r="D84" s="50" t="n">
        <v>20</v>
      </c>
      <c r="E84" s="50" t="s">
        <v>113</v>
      </c>
      <c r="F84" s="50" t="s">
        <v>397</v>
      </c>
      <c r="G84" s="52" t="s">
        <v>398</v>
      </c>
      <c r="H84" s="50" t="n">
        <v>10</v>
      </c>
      <c r="I84" s="50"/>
      <c r="K84" s="50"/>
    </row>
    <row r="85" customFormat="false" ht="15" hidden="false" customHeight="false" outlineLevel="0" collapsed="false">
      <c r="A85" s="50" t="s">
        <v>399</v>
      </c>
      <c r="B85" s="50" t="s">
        <v>400</v>
      </c>
      <c r="C85" s="50" t="s">
        <v>95</v>
      </c>
      <c r="D85" s="50" t="n">
        <v>20</v>
      </c>
      <c r="E85" s="50" t="s">
        <v>113</v>
      </c>
      <c r="F85" s="50" t="s">
        <v>401</v>
      </c>
      <c r="G85" s="52" t="s">
        <v>402</v>
      </c>
      <c r="H85" s="50" t="n">
        <v>10</v>
      </c>
      <c r="I85" s="50"/>
      <c r="K85" s="50"/>
    </row>
    <row r="86" customFormat="false" ht="15" hidden="false" customHeight="false" outlineLevel="0" collapsed="false">
      <c r="A86" s="50" t="s">
        <v>403</v>
      </c>
      <c r="B86" s="50" t="s">
        <v>404</v>
      </c>
      <c r="C86" s="50" t="s">
        <v>95</v>
      </c>
      <c r="D86" s="50" t="n">
        <v>20</v>
      </c>
      <c r="E86" s="50" t="s">
        <v>113</v>
      </c>
      <c r="F86" s="50" t="s">
        <v>405</v>
      </c>
      <c r="G86" s="52" t="s">
        <v>406</v>
      </c>
      <c r="H86" s="50" t="n">
        <v>10</v>
      </c>
      <c r="I86" s="50"/>
      <c r="K86" s="50"/>
    </row>
    <row r="87" customFormat="false" ht="15" hidden="false" customHeight="false" outlineLevel="0" collapsed="false">
      <c r="A87" s="50" t="s">
        <v>407</v>
      </c>
      <c r="B87" s="50" t="s">
        <v>408</v>
      </c>
      <c r="C87" s="50" t="s">
        <v>95</v>
      </c>
      <c r="D87" s="50" t="n">
        <v>2</v>
      </c>
      <c r="E87" s="50" t="s">
        <v>96</v>
      </c>
      <c r="F87" s="50" t="s">
        <v>409</v>
      </c>
      <c r="G87" s="52" t="s">
        <v>410</v>
      </c>
      <c r="H87" s="50" t="n">
        <v>8</v>
      </c>
      <c r="I87" s="50"/>
      <c r="K87" s="50"/>
    </row>
    <row r="88" customFormat="false" ht="15" hidden="false" customHeight="false" outlineLevel="0" collapsed="false">
      <c r="A88" s="50" t="s">
        <v>411</v>
      </c>
      <c r="B88" s="50" t="s">
        <v>412</v>
      </c>
      <c r="C88" s="50" t="s">
        <v>95</v>
      </c>
      <c r="D88" s="50" t="n">
        <v>2</v>
      </c>
      <c r="E88" s="50" t="s">
        <v>96</v>
      </c>
      <c r="F88" s="50" t="s">
        <v>413</v>
      </c>
      <c r="G88" s="52" t="s">
        <v>414</v>
      </c>
      <c r="H88" s="50" t="n">
        <v>0</v>
      </c>
      <c r="I88" s="50"/>
      <c r="K88" s="50"/>
    </row>
    <row r="89" customFormat="false" ht="15" hidden="false" customHeight="false" outlineLevel="0" collapsed="false">
      <c r="A89" s="50" t="s">
        <v>415</v>
      </c>
      <c r="B89" s="50" t="s">
        <v>416</v>
      </c>
      <c r="C89" s="50" t="s">
        <v>95</v>
      </c>
      <c r="D89" s="50" t="n">
        <v>2</v>
      </c>
      <c r="E89" s="50" t="s">
        <v>96</v>
      </c>
      <c r="F89" s="50" t="s">
        <v>417</v>
      </c>
      <c r="G89" s="52" t="s">
        <v>418</v>
      </c>
      <c r="H89" s="50" t="n">
        <v>0</v>
      </c>
      <c r="I89" s="50"/>
      <c r="K89" s="50"/>
    </row>
    <row r="90" customFormat="false" ht="25.5" hidden="false" customHeight="false" outlineLevel="0" collapsed="false">
      <c r="A90" s="50" t="s">
        <v>419</v>
      </c>
      <c r="B90" s="50" t="s">
        <v>420</v>
      </c>
      <c r="C90" s="50" t="s">
        <v>95</v>
      </c>
      <c r="D90" s="50" t="n">
        <v>2</v>
      </c>
      <c r="E90" s="50" t="s">
        <v>96</v>
      </c>
      <c r="F90" s="50" t="s">
        <v>421</v>
      </c>
      <c r="G90" s="52" t="s">
        <v>410</v>
      </c>
      <c r="H90" s="50" t="n">
        <v>8</v>
      </c>
      <c r="I90" s="50"/>
      <c r="K90" s="50"/>
    </row>
    <row r="91" customFormat="false" ht="15" hidden="false" customHeight="false" outlineLevel="0" collapsed="false">
      <c r="A91" s="50" t="s">
        <v>422</v>
      </c>
      <c r="B91" s="50" t="s">
        <v>423</v>
      </c>
      <c r="C91" s="50" t="s">
        <v>95</v>
      </c>
      <c r="D91" s="50" t="n">
        <v>2</v>
      </c>
      <c r="E91" s="50" t="s">
        <v>96</v>
      </c>
      <c r="F91" s="50" t="s">
        <v>424</v>
      </c>
      <c r="G91" s="52" t="s">
        <v>425</v>
      </c>
      <c r="H91" s="50" t="n">
        <v>30</v>
      </c>
      <c r="I91" s="50"/>
      <c r="K91" s="50"/>
    </row>
    <row r="92" customFormat="false" ht="15" hidden="false" customHeight="false" outlineLevel="0" collapsed="false">
      <c r="A92" s="50" t="s">
        <v>426</v>
      </c>
      <c r="B92" s="50" t="s">
        <v>427</v>
      </c>
      <c r="C92" s="50" t="s">
        <v>95</v>
      </c>
      <c r="D92" s="50" t="n">
        <v>2</v>
      </c>
      <c r="E92" s="50" t="s">
        <v>96</v>
      </c>
      <c r="F92" s="50" t="s">
        <v>428</v>
      </c>
      <c r="G92" s="52" t="s">
        <v>425</v>
      </c>
      <c r="H92" s="50" t="n">
        <v>30</v>
      </c>
      <c r="I92" s="50"/>
      <c r="K92" s="50"/>
    </row>
    <row r="93" customFormat="false" ht="15" hidden="false" customHeight="false" outlineLevel="0" collapsed="false">
      <c r="A93" s="50" t="s">
        <v>429</v>
      </c>
      <c r="B93" s="50" t="s">
        <v>430</v>
      </c>
      <c r="C93" s="50" t="s">
        <v>95</v>
      </c>
      <c r="D93" s="50" t="n">
        <v>2</v>
      </c>
      <c r="E93" s="50" t="s">
        <v>96</v>
      </c>
      <c r="F93" s="50" t="s">
        <v>431</v>
      </c>
      <c r="G93" s="52" t="s">
        <v>432</v>
      </c>
      <c r="H93" s="50" t="n">
        <v>48</v>
      </c>
      <c r="I93" s="50"/>
      <c r="K93" s="50"/>
    </row>
    <row r="94" customFormat="false" ht="15" hidden="false" customHeight="false" outlineLevel="0" collapsed="false">
      <c r="A94" s="50" t="s">
        <v>433</v>
      </c>
      <c r="B94" s="50" t="s">
        <v>434</v>
      </c>
      <c r="C94" s="50" t="s">
        <v>95</v>
      </c>
      <c r="D94" s="50" t="n">
        <v>2</v>
      </c>
      <c r="E94" s="50" t="s">
        <v>96</v>
      </c>
      <c r="F94" s="50" t="s">
        <v>435</v>
      </c>
      <c r="G94" s="52" t="s">
        <v>432</v>
      </c>
      <c r="H94" s="50" t="n">
        <v>27</v>
      </c>
      <c r="I94" s="50"/>
      <c r="K94" s="50"/>
    </row>
    <row r="95" customFormat="false" ht="15" hidden="false" customHeight="false" outlineLevel="0" collapsed="false">
      <c r="A95" s="50" t="s">
        <v>436</v>
      </c>
      <c r="B95" s="50" t="s">
        <v>437</v>
      </c>
      <c r="C95" s="50" t="s">
        <v>95</v>
      </c>
      <c r="D95" s="50" t="n">
        <v>2</v>
      </c>
      <c r="E95" s="50" t="s">
        <v>96</v>
      </c>
      <c r="F95" s="50" t="s">
        <v>438</v>
      </c>
      <c r="G95" s="52" t="s">
        <v>439</v>
      </c>
      <c r="H95" s="50" t="n">
        <v>50</v>
      </c>
      <c r="I95" s="50"/>
      <c r="K95" s="50"/>
    </row>
    <row r="96" customFormat="false" ht="15" hidden="false" customHeight="false" outlineLevel="0" collapsed="false">
      <c r="A96" s="50" t="s">
        <v>440</v>
      </c>
      <c r="B96" s="50" t="s">
        <v>441</v>
      </c>
      <c r="C96" s="50" t="s">
        <v>95</v>
      </c>
      <c r="D96" s="50" t="n">
        <v>2</v>
      </c>
      <c r="E96" s="50" t="s">
        <v>96</v>
      </c>
      <c r="F96" s="50" t="s">
        <v>442</v>
      </c>
      <c r="G96" s="52" t="s">
        <v>443</v>
      </c>
      <c r="H96" s="50" t="n">
        <v>50</v>
      </c>
      <c r="I96" s="50"/>
      <c r="K96" s="50"/>
    </row>
    <row r="97" customFormat="false" ht="15" hidden="false" customHeight="false" outlineLevel="0" collapsed="false">
      <c r="A97" s="50" t="s">
        <v>444</v>
      </c>
      <c r="B97" s="50" t="s">
        <v>445</v>
      </c>
      <c r="C97" s="50" t="s">
        <v>95</v>
      </c>
      <c r="D97" s="50" t="n">
        <v>15</v>
      </c>
      <c r="E97" s="50" t="s">
        <v>113</v>
      </c>
      <c r="F97" s="50" t="s">
        <v>446</v>
      </c>
      <c r="G97" s="52" t="s">
        <v>447</v>
      </c>
      <c r="H97" s="50" t="n">
        <v>25</v>
      </c>
      <c r="I97" s="50"/>
      <c r="K97" s="50"/>
    </row>
    <row r="98" customFormat="false" ht="15" hidden="false" customHeight="false" outlineLevel="0" collapsed="false">
      <c r="A98" s="50" t="s">
        <v>448</v>
      </c>
      <c r="B98" s="50" t="s">
        <v>449</v>
      </c>
      <c r="C98" s="50" t="s">
        <v>95</v>
      </c>
      <c r="D98" s="50" t="n">
        <v>15</v>
      </c>
      <c r="E98" s="50" t="s">
        <v>113</v>
      </c>
      <c r="F98" s="50" t="s">
        <v>450</v>
      </c>
      <c r="G98" s="52" t="s">
        <v>451</v>
      </c>
      <c r="H98" s="50" t="n">
        <v>100</v>
      </c>
      <c r="I98" s="50"/>
      <c r="K98" s="50"/>
    </row>
    <row r="99" customFormat="false" ht="15" hidden="false" customHeight="false" outlineLevel="0" collapsed="false">
      <c r="A99" s="50" t="s">
        <v>452</v>
      </c>
      <c r="B99" s="50" t="s">
        <v>453</v>
      </c>
      <c r="C99" s="50" t="s">
        <v>95</v>
      </c>
      <c r="D99" s="50" t="n">
        <v>2</v>
      </c>
      <c r="E99" s="50" t="s">
        <v>96</v>
      </c>
      <c r="F99" s="50" t="s">
        <v>454</v>
      </c>
      <c r="G99" s="52" t="s">
        <v>447</v>
      </c>
      <c r="H99" s="50" t="n">
        <v>25</v>
      </c>
      <c r="I99" s="50"/>
      <c r="K99" s="50"/>
    </row>
    <row r="100" customFormat="false" ht="15" hidden="false" customHeight="false" outlineLevel="0" collapsed="false">
      <c r="A100" s="50" t="s">
        <v>455</v>
      </c>
      <c r="B100" s="50" t="s">
        <v>456</v>
      </c>
      <c r="C100" s="50" t="s">
        <v>95</v>
      </c>
      <c r="D100" s="50" t="n">
        <v>2</v>
      </c>
      <c r="E100" s="50" t="s">
        <v>96</v>
      </c>
      <c r="F100" s="50" t="s">
        <v>457</v>
      </c>
      <c r="G100" s="52" t="s">
        <v>451</v>
      </c>
      <c r="H100" s="50" t="n">
        <v>100</v>
      </c>
      <c r="I100" s="50"/>
      <c r="K100" s="50"/>
    </row>
    <row r="101" customFormat="false" ht="15" hidden="false" customHeight="false" outlineLevel="0" collapsed="false">
      <c r="A101" s="50" t="s">
        <v>458</v>
      </c>
      <c r="B101" s="50" t="s">
        <v>459</v>
      </c>
      <c r="C101" s="50" t="s">
        <v>95</v>
      </c>
      <c r="D101" s="50" t="n">
        <v>2</v>
      </c>
      <c r="E101" s="50" t="s">
        <v>96</v>
      </c>
      <c r="F101" s="50" t="s">
        <v>460</v>
      </c>
      <c r="G101" s="52" t="s">
        <v>461</v>
      </c>
      <c r="H101" s="50" t="n">
        <v>25</v>
      </c>
      <c r="I101" s="50"/>
      <c r="K101" s="50"/>
    </row>
    <row r="102" customFormat="false" ht="15" hidden="false" customHeight="false" outlineLevel="0" collapsed="false">
      <c r="A102" s="50" t="s">
        <v>462</v>
      </c>
      <c r="B102" s="50" t="s">
        <v>463</v>
      </c>
      <c r="C102" s="50" t="s">
        <v>95</v>
      </c>
      <c r="D102" s="50" t="n">
        <v>2</v>
      </c>
      <c r="E102" s="50" t="s">
        <v>96</v>
      </c>
      <c r="F102" s="50" t="s">
        <v>464</v>
      </c>
      <c r="G102" s="52" t="s">
        <v>461</v>
      </c>
      <c r="H102" s="50" t="n">
        <v>25</v>
      </c>
      <c r="I102" s="50"/>
      <c r="K102" s="50"/>
    </row>
    <row r="103" customFormat="false" ht="15" hidden="false" customHeight="false" outlineLevel="0" collapsed="false">
      <c r="A103" s="50" t="s">
        <v>465</v>
      </c>
      <c r="B103" s="50" t="s">
        <v>466</v>
      </c>
      <c r="C103" s="50" t="s">
        <v>95</v>
      </c>
      <c r="D103" s="50" t="n">
        <v>2</v>
      </c>
      <c r="E103" s="50" t="s">
        <v>96</v>
      </c>
      <c r="F103" s="50" t="s">
        <v>467</v>
      </c>
      <c r="G103" s="52" t="s">
        <v>468</v>
      </c>
      <c r="H103" s="50" t="n">
        <v>25</v>
      </c>
      <c r="I103" s="50"/>
      <c r="K103" s="50"/>
    </row>
    <row r="104" customFormat="false" ht="15" hidden="false" customHeight="false" outlineLevel="0" collapsed="false">
      <c r="A104" s="50" t="s">
        <v>469</v>
      </c>
      <c r="B104" s="50" t="s">
        <v>470</v>
      </c>
      <c r="C104" s="50" t="s">
        <v>95</v>
      </c>
      <c r="D104" s="50" t="n">
        <v>2</v>
      </c>
      <c r="E104" s="50" t="s">
        <v>96</v>
      </c>
      <c r="F104" s="50" t="s">
        <v>471</v>
      </c>
      <c r="G104" s="52" t="s">
        <v>472</v>
      </c>
      <c r="H104" s="50" t="n">
        <v>25</v>
      </c>
      <c r="I104" s="50"/>
      <c r="K104" s="50"/>
    </row>
    <row r="105" customFormat="false" ht="15" hidden="false" customHeight="false" outlineLevel="0" collapsed="false">
      <c r="A105" s="50" t="s">
        <v>473</v>
      </c>
      <c r="B105" s="50" t="s">
        <v>474</v>
      </c>
      <c r="C105" s="50" t="s">
        <v>95</v>
      </c>
      <c r="D105" s="50" t="n">
        <v>2</v>
      </c>
      <c r="E105" s="50" t="s">
        <v>96</v>
      </c>
      <c r="F105" s="50" t="s">
        <v>475</v>
      </c>
      <c r="G105" s="52" t="s">
        <v>476</v>
      </c>
      <c r="H105" s="50" t="n">
        <v>100</v>
      </c>
      <c r="I105" s="50"/>
      <c r="K105" s="50"/>
    </row>
    <row r="106" customFormat="false" ht="15" hidden="false" customHeight="false" outlineLevel="0" collapsed="false">
      <c r="A106" s="50" t="s">
        <v>477</v>
      </c>
      <c r="B106" s="50" t="s">
        <v>478</v>
      </c>
      <c r="C106" s="50" t="s">
        <v>95</v>
      </c>
      <c r="D106" s="50" t="n">
        <v>2</v>
      </c>
      <c r="E106" s="50" t="s">
        <v>96</v>
      </c>
      <c r="F106" s="50" t="s">
        <v>479</v>
      </c>
      <c r="G106" s="52" t="s">
        <v>480</v>
      </c>
      <c r="H106" s="50" t="n">
        <v>25</v>
      </c>
      <c r="I106" s="50"/>
      <c r="K106" s="50"/>
    </row>
    <row r="107" customFormat="false" ht="15" hidden="false" customHeight="false" outlineLevel="0" collapsed="false">
      <c r="A107" s="50" t="s">
        <v>481</v>
      </c>
      <c r="B107" s="50" t="s">
        <v>482</v>
      </c>
      <c r="C107" s="50" t="s">
        <v>95</v>
      </c>
      <c r="D107" s="50" t="n">
        <v>2</v>
      </c>
      <c r="E107" s="50" t="s">
        <v>96</v>
      </c>
      <c r="F107" s="50" t="s">
        <v>483</v>
      </c>
      <c r="G107" s="52" t="s">
        <v>484</v>
      </c>
      <c r="H107" s="50" t="n">
        <v>90</v>
      </c>
      <c r="I107" s="50"/>
      <c r="K107" s="50"/>
    </row>
    <row r="108" customFormat="false" ht="15" hidden="false" customHeight="false" outlineLevel="0" collapsed="false">
      <c r="A108" s="50" t="s">
        <v>485</v>
      </c>
      <c r="B108" s="50" t="s">
        <v>486</v>
      </c>
      <c r="C108" s="50" t="s">
        <v>95</v>
      </c>
      <c r="D108" s="50" t="n">
        <v>2</v>
      </c>
      <c r="E108" s="50" t="s">
        <v>96</v>
      </c>
      <c r="F108" s="50" t="s">
        <v>487</v>
      </c>
      <c r="G108" s="52" t="s">
        <v>447</v>
      </c>
      <c r="H108" s="50" t="n">
        <v>30</v>
      </c>
      <c r="I108" s="50"/>
      <c r="K108" s="50"/>
    </row>
    <row r="109" customFormat="false" ht="15" hidden="false" customHeight="false" outlineLevel="0" collapsed="false">
      <c r="A109" s="50" t="s">
        <v>488</v>
      </c>
      <c r="B109" s="50" t="s">
        <v>489</v>
      </c>
      <c r="C109" s="50" t="s">
        <v>95</v>
      </c>
      <c r="D109" s="50" t="n">
        <v>2</v>
      </c>
      <c r="E109" s="50" t="s">
        <v>96</v>
      </c>
      <c r="F109" s="50" t="s">
        <v>490</v>
      </c>
      <c r="G109" s="52" t="s">
        <v>491</v>
      </c>
      <c r="H109" s="50" t="n">
        <v>30</v>
      </c>
      <c r="I109" s="50"/>
      <c r="K109" s="50"/>
    </row>
    <row r="110" customFormat="false" ht="15" hidden="false" customHeight="false" outlineLevel="0" collapsed="false">
      <c r="A110" s="50" t="s">
        <v>492</v>
      </c>
      <c r="B110" s="50" t="s">
        <v>493</v>
      </c>
      <c r="C110" s="50" t="s">
        <v>95</v>
      </c>
      <c r="D110" s="50" t="n">
        <v>2</v>
      </c>
      <c r="E110" s="50" t="s">
        <v>96</v>
      </c>
      <c r="F110" s="50" t="s">
        <v>494</v>
      </c>
      <c r="G110" s="52" t="s">
        <v>495</v>
      </c>
      <c r="H110" s="50" t="n">
        <v>50</v>
      </c>
      <c r="I110" s="50"/>
      <c r="K110" s="50"/>
    </row>
    <row r="111" customFormat="false" ht="15" hidden="false" customHeight="false" outlineLevel="0" collapsed="false">
      <c r="A111" s="50" t="s">
        <v>496</v>
      </c>
      <c r="B111" s="50" t="s">
        <v>497</v>
      </c>
      <c r="C111" s="50" t="s">
        <v>95</v>
      </c>
      <c r="D111" s="50" t="n">
        <v>2</v>
      </c>
      <c r="E111" s="50" t="s">
        <v>96</v>
      </c>
      <c r="F111" s="50" t="s">
        <v>498</v>
      </c>
      <c r="G111" s="52" t="s">
        <v>499</v>
      </c>
      <c r="H111" s="50" t="n">
        <v>50</v>
      </c>
      <c r="I111" s="50"/>
      <c r="K111" s="50"/>
    </row>
    <row r="112" customFormat="false" ht="15" hidden="false" customHeight="false" outlineLevel="0" collapsed="false">
      <c r="A112" s="50" t="s">
        <v>500</v>
      </c>
      <c r="B112" s="50" t="s">
        <v>501</v>
      </c>
      <c r="C112" s="50" t="s">
        <v>95</v>
      </c>
      <c r="D112" s="50" t="n">
        <v>2</v>
      </c>
      <c r="E112" s="50" t="s">
        <v>96</v>
      </c>
      <c r="F112" s="50" t="s">
        <v>502</v>
      </c>
      <c r="G112" s="52" t="s">
        <v>503</v>
      </c>
      <c r="H112" s="50" t="n">
        <v>16</v>
      </c>
      <c r="I112" s="50"/>
      <c r="K112" s="50"/>
    </row>
    <row r="113" customFormat="false" ht="15" hidden="false" customHeight="false" outlineLevel="0" collapsed="false">
      <c r="A113" s="50" t="s">
        <v>504</v>
      </c>
      <c r="B113" s="50" t="s">
        <v>505</v>
      </c>
      <c r="C113" s="50" t="s">
        <v>95</v>
      </c>
      <c r="D113" s="50" t="n">
        <v>2</v>
      </c>
      <c r="E113" s="50" t="s">
        <v>96</v>
      </c>
      <c r="F113" s="50" t="s">
        <v>506</v>
      </c>
      <c r="G113" s="52" t="s">
        <v>484</v>
      </c>
      <c r="H113" s="50" t="n">
        <v>16</v>
      </c>
      <c r="I113" s="50"/>
      <c r="K113" s="50"/>
    </row>
    <row r="114" customFormat="false" ht="15" hidden="false" customHeight="false" outlineLevel="0" collapsed="false">
      <c r="A114" s="50" t="s">
        <v>507</v>
      </c>
      <c r="B114" s="50" t="s">
        <v>508</v>
      </c>
      <c r="C114" s="50" t="s">
        <v>95</v>
      </c>
      <c r="D114" s="50" t="n">
        <v>2</v>
      </c>
      <c r="E114" s="50" t="s">
        <v>96</v>
      </c>
      <c r="F114" s="50" t="s">
        <v>509</v>
      </c>
      <c r="G114" s="52" t="s">
        <v>510</v>
      </c>
      <c r="H114" s="50" t="n">
        <v>35</v>
      </c>
      <c r="I114" s="50"/>
      <c r="K114" s="50"/>
    </row>
    <row r="115" customFormat="false" ht="15" hidden="false" customHeight="false" outlineLevel="0" collapsed="false">
      <c r="A115" s="50" t="s">
        <v>511</v>
      </c>
      <c r="B115" s="50" t="s">
        <v>512</v>
      </c>
      <c r="C115" s="50" t="s">
        <v>95</v>
      </c>
      <c r="D115" s="50" t="n">
        <v>2</v>
      </c>
      <c r="E115" s="50" t="s">
        <v>96</v>
      </c>
      <c r="F115" s="50" t="s">
        <v>513</v>
      </c>
      <c r="G115" s="52" t="s">
        <v>510</v>
      </c>
      <c r="H115" s="50" t="n">
        <v>35</v>
      </c>
      <c r="I115" s="50"/>
      <c r="K115" s="50"/>
    </row>
    <row r="116" customFormat="false" ht="15" hidden="false" customHeight="false" outlineLevel="0" collapsed="false">
      <c r="A116" s="50" t="s">
        <v>514</v>
      </c>
      <c r="B116" s="50" t="s">
        <v>515</v>
      </c>
      <c r="C116" s="50" t="s">
        <v>95</v>
      </c>
      <c r="D116" s="50" t="n">
        <v>2</v>
      </c>
      <c r="E116" s="50" t="s">
        <v>96</v>
      </c>
      <c r="F116" s="50" t="s">
        <v>516</v>
      </c>
      <c r="G116" s="52" t="s">
        <v>517</v>
      </c>
      <c r="H116" s="50" t="n">
        <v>0</v>
      </c>
      <c r="I116" s="50"/>
      <c r="K116" s="50"/>
    </row>
    <row r="117" customFormat="false" ht="15" hidden="false" customHeight="false" outlineLevel="0" collapsed="false">
      <c r="A117" s="50" t="s">
        <v>518</v>
      </c>
      <c r="B117" s="50" t="s">
        <v>519</v>
      </c>
      <c r="C117" s="50" t="s">
        <v>95</v>
      </c>
      <c r="D117" s="50" t="n">
        <v>2</v>
      </c>
      <c r="E117" s="50" t="s">
        <v>96</v>
      </c>
      <c r="F117" s="50" t="s">
        <v>520</v>
      </c>
      <c r="G117" s="52" t="s">
        <v>521</v>
      </c>
      <c r="H117" s="50" t="n">
        <v>1</v>
      </c>
      <c r="I117" s="50"/>
      <c r="K117" s="50"/>
    </row>
    <row r="118" customFormat="false" ht="15" hidden="false" customHeight="false" outlineLevel="0" collapsed="false">
      <c r="A118" s="50" t="s">
        <v>522</v>
      </c>
      <c r="B118" s="50" t="s">
        <v>523</v>
      </c>
      <c r="C118" s="50" t="s">
        <v>95</v>
      </c>
      <c r="D118" s="50" t="n">
        <v>2</v>
      </c>
      <c r="E118" s="50" t="s">
        <v>96</v>
      </c>
      <c r="F118" s="50" t="s">
        <v>524</v>
      </c>
      <c r="G118" s="52" t="s">
        <v>525</v>
      </c>
      <c r="H118" s="50" t="n">
        <v>10</v>
      </c>
      <c r="I118" s="50"/>
      <c r="K118" s="50"/>
    </row>
    <row r="119" customFormat="false" ht="15" hidden="false" customHeight="false" outlineLevel="0" collapsed="false">
      <c r="A119" s="50" t="s">
        <v>526</v>
      </c>
      <c r="B119" s="50" t="s">
        <v>527</v>
      </c>
      <c r="C119" s="50" t="s">
        <v>95</v>
      </c>
      <c r="D119" s="50" t="n">
        <v>2</v>
      </c>
      <c r="E119" s="50" t="s">
        <v>96</v>
      </c>
      <c r="F119" s="50" t="s">
        <v>528</v>
      </c>
      <c r="G119" s="52" t="s">
        <v>529</v>
      </c>
      <c r="H119" s="50" t="n">
        <v>640</v>
      </c>
      <c r="I119" s="50"/>
      <c r="K119" s="50"/>
    </row>
    <row r="120" customFormat="false" ht="25.5" hidden="false" customHeight="false" outlineLevel="0" collapsed="false">
      <c r="A120" s="50" t="s">
        <v>530</v>
      </c>
      <c r="B120" s="50" t="s">
        <v>531</v>
      </c>
      <c r="C120" s="50" t="s">
        <v>95</v>
      </c>
      <c r="D120" s="50" t="n">
        <v>2</v>
      </c>
      <c r="E120" s="50" t="s">
        <v>96</v>
      </c>
      <c r="F120" s="50" t="s">
        <v>532</v>
      </c>
      <c r="G120" s="52" t="s">
        <v>533</v>
      </c>
      <c r="H120" s="50" t="n">
        <v>36</v>
      </c>
      <c r="I120" s="50"/>
      <c r="K120" s="50"/>
    </row>
    <row r="121" customFormat="false" ht="15" hidden="false" customHeight="false" outlineLevel="0" collapsed="false">
      <c r="A121" s="50" t="s">
        <v>534</v>
      </c>
      <c r="B121" s="50" t="s">
        <v>535</v>
      </c>
      <c r="C121" s="50" t="s">
        <v>95</v>
      </c>
      <c r="D121" s="50" t="n">
        <v>2</v>
      </c>
      <c r="E121" s="50" t="s">
        <v>96</v>
      </c>
      <c r="F121" s="50" t="s">
        <v>536</v>
      </c>
      <c r="G121" s="52" t="s">
        <v>537</v>
      </c>
      <c r="H121" s="50" t="n">
        <v>168</v>
      </c>
      <c r="I121" s="50"/>
      <c r="K121" s="50"/>
    </row>
    <row r="122" customFormat="false" ht="15" hidden="false" customHeight="false" outlineLevel="0" collapsed="false">
      <c r="A122" s="50" t="s">
        <v>538</v>
      </c>
      <c r="B122" s="50" t="s">
        <v>539</v>
      </c>
      <c r="C122" s="50" t="s">
        <v>95</v>
      </c>
      <c r="D122" s="50" t="n">
        <v>2</v>
      </c>
      <c r="E122" s="50" t="s">
        <v>96</v>
      </c>
      <c r="F122" s="50" t="s">
        <v>540</v>
      </c>
      <c r="G122" s="52" t="s">
        <v>541</v>
      </c>
      <c r="H122" s="50" t="n">
        <v>12</v>
      </c>
      <c r="I122" s="50"/>
      <c r="K122" s="50"/>
    </row>
    <row r="123" customFormat="false" ht="15" hidden="false" customHeight="false" outlineLevel="0" collapsed="false">
      <c r="A123" s="50" t="s">
        <v>542</v>
      </c>
      <c r="B123" s="50" t="s">
        <v>543</v>
      </c>
      <c r="C123" s="50" t="s">
        <v>95</v>
      </c>
      <c r="D123" s="50" t="n">
        <v>15</v>
      </c>
      <c r="E123" s="50" t="s">
        <v>113</v>
      </c>
      <c r="F123" s="50" t="s">
        <v>544</v>
      </c>
      <c r="G123" s="52" t="s">
        <v>541</v>
      </c>
      <c r="H123" s="50" t="n">
        <v>1</v>
      </c>
      <c r="I123" s="50"/>
      <c r="K123" s="50"/>
    </row>
    <row r="124" customFormat="false" ht="15" hidden="false" customHeight="false" outlineLevel="0" collapsed="false">
      <c r="A124" s="50" t="s">
        <v>545</v>
      </c>
      <c r="B124" s="50" t="s">
        <v>546</v>
      </c>
      <c r="C124" s="50" t="s">
        <v>95</v>
      </c>
      <c r="D124" s="50" t="n">
        <v>15</v>
      </c>
      <c r="E124" s="50" t="s">
        <v>113</v>
      </c>
      <c r="F124" s="50" t="s">
        <v>547</v>
      </c>
      <c r="G124" s="52" t="s">
        <v>541</v>
      </c>
      <c r="H124" s="50" t="n">
        <v>1</v>
      </c>
      <c r="I124" s="50"/>
      <c r="K124" s="50"/>
    </row>
    <row r="125" customFormat="false" ht="15" hidden="false" customHeight="false" outlineLevel="0" collapsed="false">
      <c r="A125" s="50" t="s">
        <v>548</v>
      </c>
      <c r="B125" s="50" t="s">
        <v>549</v>
      </c>
      <c r="C125" s="50" t="s">
        <v>95</v>
      </c>
      <c r="D125" s="50" t="n">
        <v>2</v>
      </c>
      <c r="E125" s="50" t="s">
        <v>96</v>
      </c>
      <c r="F125" s="50" t="s">
        <v>550</v>
      </c>
      <c r="G125" s="52" t="s">
        <v>551</v>
      </c>
      <c r="H125" s="50" t="n">
        <v>150</v>
      </c>
      <c r="I125" s="50"/>
      <c r="K125" s="50"/>
    </row>
    <row r="126" customFormat="false" ht="15" hidden="false" customHeight="false" outlineLevel="0" collapsed="false">
      <c r="A126" s="50" t="s">
        <v>552</v>
      </c>
      <c r="B126" s="50" t="s">
        <v>553</v>
      </c>
      <c r="C126" s="50" t="s">
        <v>95</v>
      </c>
      <c r="D126" s="50" t="n">
        <v>2</v>
      </c>
      <c r="E126" s="50" t="s">
        <v>96</v>
      </c>
      <c r="F126" s="50" t="s">
        <v>554</v>
      </c>
      <c r="G126" s="52" t="s">
        <v>555</v>
      </c>
      <c r="H126" s="50" t="n">
        <v>150</v>
      </c>
      <c r="I126" s="50"/>
      <c r="K126" s="50"/>
    </row>
    <row r="127" customFormat="false" ht="15" hidden="false" customHeight="false" outlineLevel="0" collapsed="false">
      <c r="A127" s="50" t="s">
        <v>556</v>
      </c>
      <c r="B127" s="50" t="s">
        <v>557</v>
      </c>
      <c r="C127" s="50" t="s">
        <v>95</v>
      </c>
      <c r="D127" s="50" t="n">
        <v>2</v>
      </c>
      <c r="E127" s="50" t="s">
        <v>96</v>
      </c>
      <c r="F127" s="50" t="s">
        <v>558</v>
      </c>
      <c r="G127" s="52" t="s">
        <v>551</v>
      </c>
      <c r="H127" s="50" t="n">
        <v>78</v>
      </c>
      <c r="I127" s="50"/>
      <c r="K127" s="50"/>
    </row>
    <row r="128" customFormat="false" ht="15" hidden="false" customHeight="false" outlineLevel="0" collapsed="false">
      <c r="A128" s="50" t="s">
        <v>559</v>
      </c>
      <c r="B128" s="50" t="s">
        <v>560</v>
      </c>
      <c r="C128" s="50" t="s">
        <v>95</v>
      </c>
      <c r="D128" s="50" t="n">
        <v>2</v>
      </c>
      <c r="E128" s="50" t="s">
        <v>96</v>
      </c>
      <c r="F128" s="50" t="s">
        <v>561</v>
      </c>
      <c r="G128" s="52" t="s">
        <v>562</v>
      </c>
      <c r="H128" s="50" t="n">
        <v>1</v>
      </c>
      <c r="I128" s="50"/>
      <c r="K128" s="50"/>
    </row>
    <row r="129" customFormat="false" ht="15" hidden="false" customHeight="false" outlineLevel="0" collapsed="false">
      <c r="A129" s="50" t="s">
        <v>563</v>
      </c>
      <c r="B129" s="50" t="s">
        <v>564</v>
      </c>
      <c r="C129" s="50" t="s">
        <v>95</v>
      </c>
      <c r="D129" s="50" t="n">
        <v>2</v>
      </c>
      <c r="E129" s="50" t="s">
        <v>96</v>
      </c>
      <c r="F129" s="50" t="s">
        <v>565</v>
      </c>
      <c r="G129" s="52" t="s">
        <v>566</v>
      </c>
      <c r="H129" s="50" t="n">
        <v>55</v>
      </c>
      <c r="I129" s="50"/>
      <c r="K129" s="50"/>
    </row>
    <row r="130" customFormat="false" ht="15" hidden="false" customHeight="false" outlineLevel="0" collapsed="false">
      <c r="A130" s="50" t="s">
        <v>567</v>
      </c>
      <c r="B130" s="50" t="s">
        <v>568</v>
      </c>
      <c r="C130" s="50" t="s">
        <v>95</v>
      </c>
      <c r="D130" s="50" t="n">
        <v>2</v>
      </c>
      <c r="E130" s="50" t="s">
        <v>96</v>
      </c>
      <c r="F130" s="50" t="s">
        <v>569</v>
      </c>
      <c r="G130" s="52" t="s">
        <v>566</v>
      </c>
      <c r="H130" s="50" t="n">
        <v>65</v>
      </c>
      <c r="I130" s="50"/>
      <c r="K130" s="50"/>
    </row>
    <row r="131" customFormat="false" ht="25.5" hidden="false" customHeight="false" outlineLevel="0" collapsed="false">
      <c r="A131" s="50" t="s">
        <v>570</v>
      </c>
      <c r="B131" s="50" t="s">
        <v>571</v>
      </c>
      <c r="C131" s="50" t="s">
        <v>95</v>
      </c>
      <c r="D131" s="50" t="n">
        <v>2</v>
      </c>
      <c r="E131" s="50" t="s">
        <v>96</v>
      </c>
      <c r="F131" s="50" t="s">
        <v>572</v>
      </c>
      <c r="G131" s="52" t="s">
        <v>410</v>
      </c>
      <c r="H131" s="50" t="n">
        <v>56</v>
      </c>
      <c r="I131" s="50"/>
      <c r="K131" s="50"/>
    </row>
    <row r="132" customFormat="false" ht="15" hidden="false" customHeight="false" outlineLevel="0" collapsed="false">
      <c r="A132" s="50" t="s">
        <v>573</v>
      </c>
      <c r="B132" s="50" t="s">
        <v>574</v>
      </c>
      <c r="C132" s="50" t="s">
        <v>95</v>
      </c>
      <c r="D132" s="50" t="n">
        <v>15</v>
      </c>
      <c r="E132" s="50" t="s">
        <v>113</v>
      </c>
      <c r="F132" s="50" t="s">
        <v>575</v>
      </c>
      <c r="G132" s="52" t="s">
        <v>308</v>
      </c>
      <c r="H132" s="50" t="n">
        <v>1</v>
      </c>
      <c r="I132" s="50"/>
      <c r="K132" s="50"/>
    </row>
    <row r="133" customFormat="false" ht="15" hidden="false" customHeight="false" outlineLevel="0" collapsed="false">
      <c r="A133" s="50" t="s">
        <v>576</v>
      </c>
      <c r="B133" s="50" t="s">
        <v>577</v>
      </c>
      <c r="C133" s="50" t="s">
        <v>95</v>
      </c>
      <c r="D133" s="50" t="n">
        <v>15</v>
      </c>
      <c r="E133" s="50" t="s">
        <v>113</v>
      </c>
      <c r="F133" s="50" t="s">
        <v>578</v>
      </c>
      <c r="G133" s="52" t="s">
        <v>308</v>
      </c>
      <c r="H133" s="50" t="n">
        <v>1</v>
      </c>
      <c r="I133" s="50"/>
      <c r="K133" s="50"/>
    </row>
    <row r="134" customFormat="false" ht="15" hidden="false" customHeight="false" outlineLevel="0" collapsed="false">
      <c r="A134" s="50" t="s">
        <v>579</v>
      </c>
      <c r="B134" s="50" t="s">
        <v>580</v>
      </c>
      <c r="C134" s="50" t="s">
        <v>95</v>
      </c>
      <c r="D134" s="50" t="n">
        <v>2</v>
      </c>
      <c r="E134" s="50" t="s">
        <v>96</v>
      </c>
      <c r="F134" s="50" t="s">
        <v>581</v>
      </c>
      <c r="G134" s="52" t="s">
        <v>308</v>
      </c>
      <c r="H134" s="50" t="n">
        <v>20</v>
      </c>
      <c r="I134" s="50"/>
      <c r="K134" s="50"/>
    </row>
    <row r="135" customFormat="false" ht="15" hidden="false" customHeight="false" outlineLevel="0" collapsed="false">
      <c r="A135" s="50" t="s">
        <v>582</v>
      </c>
      <c r="B135" s="50" t="s">
        <v>583</v>
      </c>
      <c r="C135" s="50" t="s">
        <v>95</v>
      </c>
      <c r="D135" s="50" t="n">
        <v>2</v>
      </c>
      <c r="E135" s="50" t="s">
        <v>96</v>
      </c>
      <c r="F135" s="50" t="s">
        <v>584</v>
      </c>
      <c r="G135" s="52" t="s">
        <v>585</v>
      </c>
      <c r="H135" s="50" t="n">
        <v>20</v>
      </c>
      <c r="I135" s="50"/>
      <c r="K135" s="50"/>
    </row>
    <row r="136" customFormat="false" ht="15" hidden="false" customHeight="false" outlineLevel="0" collapsed="false">
      <c r="A136" s="50" t="s">
        <v>586</v>
      </c>
      <c r="B136" s="50" t="s">
        <v>587</v>
      </c>
      <c r="C136" s="50" t="s">
        <v>95</v>
      </c>
      <c r="D136" s="50" t="n">
        <v>2</v>
      </c>
      <c r="E136" s="50" t="s">
        <v>96</v>
      </c>
      <c r="F136" s="50" t="s">
        <v>588</v>
      </c>
      <c r="G136" s="52" t="s">
        <v>589</v>
      </c>
      <c r="H136" s="50" t="n">
        <v>15</v>
      </c>
      <c r="I136" s="50"/>
      <c r="K136" s="50"/>
    </row>
    <row r="137" customFormat="false" ht="15" hidden="false" customHeight="false" outlineLevel="0" collapsed="false">
      <c r="A137" s="50" t="s">
        <v>590</v>
      </c>
      <c r="B137" s="50" t="s">
        <v>591</v>
      </c>
      <c r="C137" s="50" t="s">
        <v>95</v>
      </c>
      <c r="D137" s="50" t="n">
        <v>20</v>
      </c>
      <c r="E137" s="50" t="s">
        <v>113</v>
      </c>
      <c r="F137" s="50" t="s">
        <v>592</v>
      </c>
      <c r="G137" s="52" t="s">
        <v>593</v>
      </c>
      <c r="H137" s="50" t="n">
        <v>15</v>
      </c>
      <c r="I137" s="50"/>
      <c r="K137" s="50"/>
    </row>
    <row r="138" customFormat="false" ht="25.5" hidden="false" customHeight="false" outlineLevel="0" collapsed="false">
      <c r="A138" s="50" t="s">
        <v>594</v>
      </c>
      <c r="B138" s="50" t="s">
        <v>595</v>
      </c>
      <c r="C138" s="50" t="s">
        <v>95</v>
      </c>
      <c r="D138" s="50" t="n">
        <v>2</v>
      </c>
      <c r="E138" s="50" t="s">
        <v>96</v>
      </c>
      <c r="F138" s="50" t="s">
        <v>596</v>
      </c>
      <c r="G138" s="52" t="s">
        <v>597</v>
      </c>
      <c r="H138" s="50" t="n">
        <v>1</v>
      </c>
      <c r="I138" s="50"/>
      <c r="K138" s="50"/>
    </row>
    <row r="139" customFormat="false" ht="25.5" hidden="false" customHeight="false" outlineLevel="0" collapsed="false">
      <c r="A139" s="50" t="s">
        <v>598</v>
      </c>
      <c r="B139" s="50" t="s">
        <v>599</v>
      </c>
      <c r="C139" s="50" t="s">
        <v>95</v>
      </c>
      <c r="D139" s="50" t="n">
        <v>20</v>
      </c>
      <c r="E139" s="50" t="s">
        <v>113</v>
      </c>
      <c r="F139" s="50" t="s">
        <v>600</v>
      </c>
      <c r="G139" s="52" t="s">
        <v>601</v>
      </c>
      <c r="H139" s="50" t="n">
        <v>1</v>
      </c>
      <c r="I139" s="50"/>
      <c r="K139" s="50"/>
    </row>
    <row r="140" customFormat="false" ht="25.5" hidden="false" customHeight="false" outlineLevel="0" collapsed="false">
      <c r="A140" s="50" t="s">
        <v>602</v>
      </c>
      <c r="B140" s="50" t="s">
        <v>603</v>
      </c>
      <c r="C140" s="50" t="s">
        <v>95</v>
      </c>
      <c r="D140" s="50" t="n">
        <v>2</v>
      </c>
      <c r="E140" s="50" t="s">
        <v>96</v>
      </c>
      <c r="F140" s="50" t="s">
        <v>604</v>
      </c>
      <c r="G140" s="52" t="s">
        <v>597</v>
      </c>
      <c r="H140" s="50" t="n">
        <v>1</v>
      </c>
      <c r="I140" s="50"/>
      <c r="K140" s="50"/>
    </row>
    <row r="141" customFormat="false" ht="25.5" hidden="false" customHeight="false" outlineLevel="0" collapsed="false">
      <c r="A141" s="50" t="s">
        <v>605</v>
      </c>
      <c r="B141" s="50" t="s">
        <v>606</v>
      </c>
      <c r="C141" s="50" t="s">
        <v>95</v>
      </c>
      <c r="D141" s="50" t="n">
        <v>2</v>
      </c>
      <c r="E141" s="50" t="s">
        <v>96</v>
      </c>
      <c r="F141" s="50" t="s">
        <v>607</v>
      </c>
      <c r="G141" s="52" t="s">
        <v>597</v>
      </c>
      <c r="H141" s="50" t="n">
        <v>1</v>
      </c>
      <c r="I141" s="50"/>
      <c r="K141" s="50"/>
    </row>
    <row r="142" customFormat="false" ht="25.5" hidden="false" customHeight="false" outlineLevel="0" collapsed="false">
      <c r="A142" s="50" t="s">
        <v>608</v>
      </c>
      <c r="B142" s="50" t="s">
        <v>609</v>
      </c>
      <c r="C142" s="50" t="s">
        <v>95</v>
      </c>
      <c r="D142" s="50" t="n">
        <v>2</v>
      </c>
      <c r="E142" s="50" t="s">
        <v>96</v>
      </c>
      <c r="F142" s="50" t="s">
        <v>610</v>
      </c>
      <c r="G142" s="52" t="s">
        <v>601</v>
      </c>
      <c r="H142" s="50" t="n">
        <v>1</v>
      </c>
      <c r="I142" s="50"/>
      <c r="K142" s="50"/>
    </row>
    <row r="143" customFormat="false" ht="25.5" hidden="false" customHeight="false" outlineLevel="0" collapsed="false">
      <c r="A143" s="50" t="s">
        <v>611</v>
      </c>
      <c r="B143" s="50" t="s">
        <v>612</v>
      </c>
      <c r="C143" s="50" t="s">
        <v>95</v>
      </c>
      <c r="D143" s="50" t="n">
        <v>2</v>
      </c>
      <c r="E143" s="50" t="s">
        <v>96</v>
      </c>
      <c r="F143" s="50" t="s">
        <v>613</v>
      </c>
      <c r="G143" s="52" t="s">
        <v>614</v>
      </c>
      <c r="H143" s="50" t="n">
        <v>1</v>
      </c>
      <c r="I143" s="50"/>
      <c r="K143" s="50"/>
    </row>
    <row r="144" customFormat="false" ht="25.5" hidden="false" customHeight="false" outlineLevel="0" collapsed="false">
      <c r="A144" s="50" t="s">
        <v>615</v>
      </c>
      <c r="B144" s="50" t="s">
        <v>616</v>
      </c>
      <c r="C144" s="50" t="s">
        <v>95</v>
      </c>
      <c r="D144" s="50" t="n">
        <v>2</v>
      </c>
      <c r="E144" s="50" t="s">
        <v>96</v>
      </c>
      <c r="F144" s="50" t="s">
        <v>617</v>
      </c>
      <c r="G144" s="52" t="s">
        <v>618</v>
      </c>
      <c r="H144" s="50" t="n">
        <v>1</v>
      </c>
      <c r="I144" s="50"/>
      <c r="K144" s="50"/>
    </row>
    <row r="145" customFormat="false" ht="15" hidden="false" customHeight="false" outlineLevel="0" collapsed="false">
      <c r="A145" s="50" t="s">
        <v>619</v>
      </c>
      <c r="B145" s="50" t="s">
        <v>620</v>
      </c>
      <c r="C145" s="50" t="s">
        <v>95</v>
      </c>
      <c r="D145" s="50" t="n">
        <v>2</v>
      </c>
      <c r="E145" s="50" t="s">
        <v>96</v>
      </c>
      <c r="F145" s="50" t="s">
        <v>621</v>
      </c>
      <c r="G145" s="52" t="s">
        <v>622</v>
      </c>
      <c r="H145" s="50" t="n">
        <v>1</v>
      </c>
      <c r="I145" s="50"/>
      <c r="K145" s="50"/>
    </row>
    <row r="146" customFormat="false" ht="15" hidden="false" customHeight="false" outlineLevel="0" collapsed="false">
      <c r="A146" s="50" t="s">
        <v>623</v>
      </c>
      <c r="B146" s="50" t="s">
        <v>624</v>
      </c>
      <c r="C146" s="50" t="s">
        <v>95</v>
      </c>
      <c r="D146" s="50" t="n">
        <v>2</v>
      </c>
      <c r="E146" s="50" t="s">
        <v>96</v>
      </c>
      <c r="F146" s="50" t="s">
        <v>625</v>
      </c>
      <c r="G146" s="52" t="s">
        <v>626</v>
      </c>
      <c r="H146" s="50" t="n">
        <v>1</v>
      </c>
      <c r="I146" s="50"/>
      <c r="K146" s="50"/>
    </row>
    <row r="147" customFormat="false" ht="25.5" hidden="false" customHeight="false" outlineLevel="0" collapsed="false">
      <c r="A147" s="50" t="s">
        <v>627</v>
      </c>
      <c r="B147" s="50" t="s">
        <v>628</v>
      </c>
      <c r="C147" s="50" t="s">
        <v>95</v>
      </c>
      <c r="D147" s="50" t="n">
        <v>2</v>
      </c>
      <c r="E147" s="50" t="s">
        <v>96</v>
      </c>
      <c r="F147" s="50" t="s">
        <v>629</v>
      </c>
      <c r="G147" s="52" t="s">
        <v>630</v>
      </c>
      <c r="H147" s="50" t="n">
        <v>0</v>
      </c>
      <c r="I147" s="50"/>
      <c r="K147" s="50"/>
    </row>
    <row r="148" customFormat="false" ht="15" hidden="false" customHeight="false" outlineLevel="0" collapsed="false">
      <c r="A148" s="50" t="s">
        <v>631</v>
      </c>
      <c r="B148" s="50" t="s">
        <v>632</v>
      </c>
      <c r="C148" s="50" t="s">
        <v>95</v>
      </c>
      <c r="D148" s="50" t="n">
        <v>2</v>
      </c>
      <c r="E148" s="50" t="s">
        <v>96</v>
      </c>
      <c r="F148" s="50" t="s">
        <v>633</v>
      </c>
      <c r="G148" s="52" t="s">
        <v>634</v>
      </c>
      <c r="H148" s="50" t="n">
        <v>300</v>
      </c>
      <c r="I148" s="50"/>
      <c r="K148" s="50"/>
    </row>
    <row r="149" customFormat="false" ht="15" hidden="false" customHeight="false" outlineLevel="0" collapsed="false">
      <c r="A149" s="50" t="s">
        <v>635</v>
      </c>
      <c r="B149" s="50" t="s">
        <v>636</v>
      </c>
      <c r="C149" s="50" t="s">
        <v>95</v>
      </c>
      <c r="D149" s="50" t="n">
        <v>2</v>
      </c>
      <c r="E149" s="50" t="s">
        <v>96</v>
      </c>
      <c r="F149" s="50" t="s">
        <v>637</v>
      </c>
      <c r="G149" s="52" t="s">
        <v>638</v>
      </c>
      <c r="H149" s="50" t="n">
        <v>330</v>
      </c>
      <c r="I149" s="50"/>
      <c r="K149" s="50"/>
    </row>
    <row r="150" customFormat="false" ht="25.5" hidden="false" customHeight="false" outlineLevel="0" collapsed="false">
      <c r="A150" s="50" t="s">
        <v>639</v>
      </c>
      <c r="B150" s="50" t="s">
        <v>640</v>
      </c>
      <c r="C150" s="50" t="s">
        <v>95</v>
      </c>
      <c r="D150" s="50" t="n">
        <v>10</v>
      </c>
      <c r="E150" s="50" t="s">
        <v>113</v>
      </c>
      <c r="F150" s="50" t="s">
        <v>641</v>
      </c>
      <c r="G150" s="52" t="s">
        <v>634</v>
      </c>
      <c r="H150" s="50" t="n">
        <v>220</v>
      </c>
      <c r="I150" s="50"/>
      <c r="K150" s="50"/>
    </row>
    <row r="151" customFormat="false" ht="25.5" hidden="false" customHeight="false" outlineLevel="0" collapsed="false">
      <c r="A151" s="50" t="s">
        <v>642</v>
      </c>
      <c r="B151" s="50" t="s">
        <v>643</v>
      </c>
      <c r="C151" s="50" t="s">
        <v>95</v>
      </c>
      <c r="D151" s="50" t="n">
        <v>2</v>
      </c>
      <c r="E151" s="50" t="s">
        <v>96</v>
      </c>
      <c r="F151" s="50" t="s">
        <v>644</v>
      </c>
      <c r="G151" s="52" t="s">
        <v>638</v>
      </c>
      <c r="H151" s="50" t="n">
        <v>280</v>
      </c>
      <c r="I151" s="50"/>
      <c r="K151" s="50"/>
    </row>
    <row r="152" customFormat="false" ht="15" hidden="false" customHeight="false" outlineLevel="0" collapsed="false">
      <c r="A152" s="50" t="s">
        <v>645</v>
      </c>
      <c r="B152" s="50" t="s">
        <v>646</v>
      </c>
      <c r="C152" s="50" t="s">
        <v>95</v>
      </c>
      <c r="D152" s="50" t="n">
        <v>2</v>
      </c>
      <c r="E152" s="50" t="s">
        <v>96</v>
      </c>
      <c r="F152" s="50" t="s">
        <v>647</v>
      </c>
      <c r="G152" s="52" t="s">
        <v>634</v>
      </c>
      <c r="H152" s="50" t="n">
        <v>300</v>
      </c>
      <c r="I152" s="50"/>
      <c r="K152" s="50"/>
    </row>
    <row r="153" customFormat="false" ht="15" hidden="false" customHeight="false" outlineLevel="0" collapsed="false">
      <c r="A153" s="50" t="s">
        <v>648</v>
      </c>
      <c r="B153" s="50" t="s">
        <v>649</v>
      </c>
      <c r="C153" s="50" t="s">
        <v>95</v>
      </c>
      <c r="D153" s="50" t="n">
        <v>2</v>
      </c>
      <c r="E153" s="50" t="s">
        <v>96</v>
      </c>
      <c r="F153" s="50" t="s">
        <v>650</v>
      </c>
      <c r="G153" s="52" t="s">
        <v>634</v>
      </c>
      <c r="H153" s="50" t="n">
        <v>220</v>
      </c>
      <c r="I153" s="50"/>
      <c r="K153" s="50"/>
    </row>
    <row r="154" customFormat="false" ht="15" hidden="false" customHeight="false" outlineLevel="0" collapsed="false">
      <c r="A154" s="50" t="s">
        <v>651</v>
      </c>
      <c r="B154" s="50" t="s">
        <v>652</v>
      </c>
      <c r="C154" s="50" t="s">
        <v>95</v>
      </c>
      <c r="D154" s="50" t="n">
        <v>15</v>
      </c>
      <c r="E154" s="50" t="s">
        <v>113</v>
      </c>
      <c r="F154" s="50" t="s">
        <v>653</v>
      </c>
      <c r="G154" s="52" t="s">
        <v>654</v>
      </c>
      <c r="H154" s="50" t="n">
        <v>150</v>
      </c>
      <c r="I154" s="50"/>
      <c r="K154" s="50"/>
    </row>
    <row r="155" customFormat="false" ht="15" hidden="false" customHeight="false" outlineLevel="0" collapsed="false">
      <c r="A155" s="50" t="s">
        <v>655</v>
      </c>
      <c r="B155" s="50" t="s">
        <v>656</v>
      </c>
      <c r="C155" s="50" t="s">
        <v>95</v>
      </c>
      <c r="D155" s="50" t="n">
        <v>2</v>
      </c>
      <c r="E155" s="50" t="s">
        <v>96</v>
      </c>
      <c r="F155" s="50" t="s">
        <v>657</v>
      </c>
      <c r="G155" s="52" t="s">
        <v>638</v>
      </c>
      <c r="H155" s="50" t="n">
        <v>160</v>
      </c>
      <c r="I155" s="50"/>
      <c r="K155" s="50"/>
    </row>
    <row r="156" customFormat="false" ht="15" hidden="false" customHeight="false" outlineLevel="0" collapsed="false">
      <c r="A156" s="50" t="s">
        <v>658</v>
      </c>
      <c r="B156" s="50" t="s">
        <v>659</v>
      </c>
      <c r="C156" s="50" t="s">
        <v>95</v>
      </c>
      <c r="D156" s="50" t="n">
        <v>2</v>
      </c>
      <c r="E156" s="50" t="s">
        <v>96</v>
      </c>
      <c r="F156" s="50" t="s">
        <v>660</v>
      </c>
      <c r="G156" s="52" t="s">
        <v>634</v>
      </c>
      <c r="H156" s="50" t="n">
        <v>250</v>
      </c>
      <c r="I156" s="50"/>
      <c r="K156" s="50"/>
    </row>
    <row r="157" customFormat="false" ht="25.5" hidden="false" customHeight="false" outlineLevel="0" collapsed="false">
      <c r="A157" s="50" t="s">
        <v>661</v>
      </c>
      <c r="B157" s="50" t="s">
        <v>662</v>
      </c>
      <c r="C157" s="50" t="s">
        <v>95</v>
      </c>
      <c r="D157" s="50" t="n">
        <v>15</v>
      </c>
      <c r="E157" s="50" t="s">
        <v>113</v>
      </c>
      <c r="F157" s="50" t="s">
        <v>663</v>
      </c>
      <c r="G157" s="52" t="s">
        <v>634</v>
      </c>
      <c r="H157" s="50" t="n">
        <v>200</v>
      </c>
      <c r="I157" s="50"/>
      <c r="K157" s="50"/>
    </row>
    <row r="158" customFormat="false" ht="25.5" hidden="false" customHeight="false" outlineLevel="0" collapsed="false">
      <c r="A158" s="50" t="s">
        <v>664</v>
      </c>
      <c r="B158" s="50" t="s">
        <v>665</v>
      </c>
      <c r="C158" s="50" t="s">
        <v>95</v>
      </c>
      <c r="D158" s="50" t="n">
        <v>2</v>
      </c>
      <c r="E158" s="50" t="s">
        <v>96</v>
      </c>
      <c r="F158" s="50" t="s">
        <v>666</v>
      </c>
      <c r="G158" s="52" t="s">
        <v>634</v>
      </c>
      <c r="H158" s="50" t="n">
        <v>85</v>
      </c>
      <c r="I158" s="50"/>
      <c r="K158" s="50"/>
    </row>
    <row r="159" customFormat="false" ht="15" hidden="false" customHeight="false" outlineLevel="0" collapsed="false">
      <c r="A159" s="50" t="s">
        <v>667</v>
      </c>
      <c r="B159" s="50" t="s">
        <v>668</v>
      </c>
      <c r="C159" s="50" t="s">
        <v>95</v>
      </c>
      <c r="D159" s="50" t="n">
        <v>2</v>
      </c>
      <c r="E159" s="50" t="s">
        <v>96</v>
      </c>
      <c r="F159" s="50" t="s">
        <v>669</v>
      </c>
      <c r="G159" s="52" t="s">
        <v>670</v>
      </c>
      <c r="H159" s="50" t="n">
        <v>200</v>
      </c>
      <c r="I159" s="50"/>
      <c r="K159" s="50"/>
    </row>
    <row r="160" customFormat="false" ht="25.5" hidden="false" customHeight="false" outlineLevel="0" collapsed="false">
      <c r="A160" s="50" t="s">
        <v>671</v>
      </c>
      <c r="B160" s="50" t="s">
        <v>672</v>
      </c>
      <c r="C160" s="50" t="s">
        <v>95</v>
      </c>
      <c r="D160" s="50" t="n">
        <v>10</v>
      </c>
      <c r="E160" s="50" t="s">
        <v>113</v>
      </c>
      <c r="F160" s="50" t="s">
        <v>673</v>
      </c>
      <c r="G160" s="52" t="s">
        <v>634</v>
      </c>
      <c r="H160" s="50" t="n">
        <v>150</v>
      </c>
      <c r="I160" s="50"/>
      <c r="K160" s="50"/>
    </row>
    <row r="161" customFormat="false" ht="25.5" hidden="false" customHeight="false" outlineLevel="0" collapsed="false">
      <c r="A161" s="50" t="s">
        <v>674</v>
      </c>
      <c r="B161" s="50" t="s">
        <v>675</v>
      </c>
      <c r="C161" s="50" t="s">
        <v>95</v>
      </c>
      <c r="D161" s="50" t="n">
        <v>2</v>
      </c>
      <c r="E161" s="50" t="s">
        <v>96</v>
      </c>
      <c r="F161" s="50" t="s">
        <v>676</v>
      </c>
      <c r="G161" s="52" t="s">
        <v>634</v>
      </c>
      <c r="H161" s="50" t="n">
        <v>250</v>
      </c>
      <c r="I161" s="50"/>
      <c r="K161" s="50"/>
    </row>
    <row r="162" customFormat="false" ht="15" hidden="false" customHeight="false" outlineLevel="0" collapsed="false">
      <c r="A162" s="50" t="s">
        <v>677</v>
      </c>
      <c r="B162" s="50" t="s">
        <v>678</v>
      </c>
      <c r="C162" s="50" t="s">
        <v>95</v>
      </c>
      <c r="D162" s="50" t="n">
        <v>2</v>
      </c>
      <c r="E162" s="50" t="s">
        <v>96</v>
      </c>
      <c r="F162" s="50" t="s">
        <v>679</v>
      </c>
      <c r="G162" s="52" t="s">
        <v>680</v>
      </c>
      <c r="H162" s="50" t="n">
        <v>123</v>
      </c>
      <c r="I162" s="50"/>
      <c r="K162" s="50"/>
    </row>
    <row r="163" customFormat="false" ht="25.5" hidden="false" customHeight="false" outlineLevel="0" collapsed="false">
      <c r="A163" s="50" t="s">
        <v>681</v>
      </c>
      <c r="B163" s="50" t="s">
        <v>682</v>
      </c>
      <c r="C163" s="50" t="s">
        <v>95</v>
      </c>
      <c r="D163" s="50" t="n">
        <v>15</v>
      </c>
      <c r="E163" s="50" t="s">
        <v>113</v>
      </c>
      <c r="F163" s="50" t="s">
        <v>683</v>
      </c>
      <c r="G163" s="52" t="s">
        <v>680</v>
      </c>
      <c r="H163" s="50" t="n">
        <v>100</v>
      </c>
      <c r="I163" s="50"/>
      <c r="K163" s="50"/>
    </row>
    <row r="164" customFormat="false" ht="25.5" hidden="false" customHeight="false" outlineLevel="0" collapsed="false">
      <c r="A164" s="50" t="s">
        <v>684</v>
      </c>
      <c r="B164" s="50" t="s">
        <v>685</v>
      </c>
      <c r="C164" s="50" t="s">
        <v>95</v>
      </c>
      <c r="D164" s="50" t="n">
        <v>15</v>
      </c>
      <c r="E164" s="50" t="s">
        <v>113</v>
      </c>
      <c r="F164" s="50" t="s">
        <v>686</v>
      </c>
      <c r="G164" s="52" t="s">
        <v>680</v>
      </c>
      <c r="H164" s="50" t="n">
        <v>110</v>
      </c>
      <c r="I164" s="50"/>
      <c r="K164" s="50"/>
    </row>
    <row r="165" customFormat="false" ht="25.5" hidden="false" customHeight="false" outlineLevel="0" collapsed="false">
      <c r="A165" s="50" t="s">
        <v>687</v>
      </c>
      <c r="B165" s="50" t="s">
        <v>688</v>
      </c>
      <c r="C165" s="50" t="s">
        <v>95</v>
      </c>
      <c r="D165" s="50" t="n">
        <v>10</v>
      </c>
      <c r="E165" s="50" t="s">
        <v>113</v>
      </c>
      <c r="F165" s="50" t="s">
        <v>689</v>
      </c>
      <c r="G165" s="52" t="s">
        <v>680</v>
      </c>
      <c r="H165" s="50" t="n">
        <v>100</v>
      </c>
      <c r="I165" s="50"/>
      <c r="K165" s="50"/>
    </row>
    <row r="166" customFormat="false" ht="25.5" hidden="false" customHeight="false" outlineLevel="0" collapsed="false">
      <c r="A166" s="50" t="s">
        <v>690</v>
      </c>
      <c r="B166" s="50" t="s">
        <v>691</v>
      </c>
      <c r="C166" s="50" t="s">
        <v>95</v>
      </c>
      <c r="D166" s="50" t="n">
        <v>2</v>
      </c>
      <c r="E166" s="50" t="s">
        <v>96</v>
      </c>
      <c r="F166" s="50" t="s">
        <v>692</v>
      </c>
      <c r="G166" s="52" t="s">
        <v>693</v>
      </c>
      <c r="H166" s="50" t="n">
        <v>32</v>
      </c>
      <c r="I166" s="50"/>
      <c r="K166" s="50"/>
    </row>
    <row r="167" customFormat="false" ht="25.5" hidden="false" customHeight="false" outlineLevel="0" collapsed="false">
      <c r="A167" s="50" t="s">
        <v>694</v>
      </c>
      <c r="B167" s="50" t="s">
        <v>695</v>
      </c>
      <c r="C167" s="50" t="s">
        <v>95</v>
      </c>
      <c r="D167" s="50" t="n">
        <v>2</v>
      </c>
      <c r="E167" s="50" t="s">
        <v>96</v>
      </c>
      <c r="F167" s="50" t="s">
        <v>696</v>
      </c>
      <c r="G167" s="52" t="s">
        <v>697</v>
      </c>
      <c r="H167" s="50" t="n">
        <v>30</v>
      </c>
      <c r="I167" s="50"/>
      <c r="K167" s="50"/>
    </row>
    <row r="168" customFormat="false" ht="25.5" hidden="false" customHeight="false" outlineLevel="0" collapsed="false">
      <c r="A168" s="50" t="s">
        <v>698</v>
      </c>
      <c r="B168" s="50" t="s">
        <v>699</v>
      </c>
      <c r="C168" s="50" t="s">
        <v>95</v>
      </c>
      <c r="D168" s="50" t="n">
        <v>10</v>
      </c>
      <c r="E168" s="50" t="s">
        <v>113</v>
      </c>
      <c r="F168" s="50" t="s">
        <v>700</v>
      </c>
      <c r="G168" s="52" t="s">
        <v>701</v>
      </c>
      <c r="H168" s="50" t="n">
        <v>30</v>
      </c>
      <c r="I168" s="50"/>
      <c r="K168" s="50"/>
    </row>
    <row r="169" customFormat="false" ht="15" hidden="false" customHeight="false" outlineLevel="0" collapsed="false">
      <c r="A169" s="50" t="s">
        <v>702</v>
      </c>
      <c r="B169" s="50" t="s">
        <v>703</v>
      </c>
      <c r="C169" s="50" t="s">
        <v>95</v>
      </c>
      <c r="D169" s="50" t="n">
        <v>15</v>
      </c>
      <c r="E169" s="50" t="s">
        <v>113</v>
      </c>
      <c r="F169" s="50" t="s">
        <v>704</v>
      </c>
      <c r="G169" s="52" t="s">
        <v>634</v>
      </c>
      <c r="H169" s="50" t="n">
        <v>300</v>
      </c>
      <c r="I169" s="50"/>
      <c r="K169" s="50"/>
    </row>
    <row r="170" customFormat="false" ht="15" hidden="false" customHeight="false" outlineLevel="0" collapsed="false">
      <c r="A170" s="50" t="s">
        <v>705</v>
      </c>
      <c r="B170" s="50" t="s">
        <v>706</v>
      </c>
      <c r="C170" s="50" t="s">
        <v>95</v>
      </c>
      <c r="D170" s="50" t="n">
        <v>2</v>
      </c>
      <c r="E170" s="50" t="s">
        <v>96</v>
      </c>
      <c r="F170" s="50" t="s">
        <v>707</v>
      </c>
      <c r="G170" s="52" t="s">
        <v>708</v>
      </c>
      <c r="H170" s="50" t="n">
        <v>200</v>
      </c>
      <c r="I170" s="50"/>
      <c r="K170" s="50"/>
    </row>
    <row r="171" customFormat="false" ht="25.5" hidden="false" customHeight="false" outlineLevel="0" collapsed="false">
      <c r="A171" s="50" t="s">
        <v>709</v>
      </c>
      <c r="B171" s="50" t="s">
        <v>710</v>
      </c>
      <c r="C171" s="50" t="s">
        <v>95</v>
      </c>
      <c r="D171" s="50" t="n">
        <v>15</v>
      </c>
      <c r="E171" s="50" t="s">
        <v>113</v>
      </c>
      <c r="F171" s="50" t="s">
        <v>711</v>
      </c>
      <c r="G171" s="52" t="s">
        <v>708</v>
      </c>
      <c r="H171" s="50" t="n">
        <v>100</v>
      </c>
      <c r="I171" s="50"/>
      <c r="K171" s="50"/>
    </row>
    <row r="172" customFormat="false" ht="15" hidden="false" customHeight="false" outlineLevel="0" collapsed="false">
      <c r="A172" s="50" t="s">
        <v>712</v>
      </c>
      <c r="B172" s="50" t="s">
        <v>713</v>
      </c>
      <c r="C172" s="50" t="s">
        <v>95</v>
      </c>
      <c r="D172" s="50" t="n">
        <v>2</v>
      </c>
      <c r="E172" s="50" t="s">
        <v>96</v>
      </c>
      <c r="F172" s="50" t="s">
        <v>714</v>
      </c>
      <c r="G172" s="52" t="s">
        <v>715</v>
      </c>
      <c r="H172" s="50" t="n">
        <v>50</v>
      </c>
      <c r="I172" s="50"/>
      <c r="K172" s="50"/>
    </row>
    <row r="173" customFormat="false" ht="15" hidden="false" customHeight="false" outlineLevel="0" collapsed="false">
      <c r="A173" s="50" t="s">
        <v>716</v>
      </c>
      <c r="B173" s="50" t="s">
        <v>717</v>
      </c>
      <c r="C173" s="50" t="s">
        <v>95</v>
      </c>
      <c r="D173" s="50" t="n">
        <v>10</v>
      </c>
      <c r="E173" s="50" t="s">
        <v>113</v>
      </c>
      <c r="F173" s="50" t="s">
        <v>718</v>
      </c>
      <c r="G173" s="52" t="s">
        <v>634</v>
      </c>
      <c r="H173" s="50" t="n">
        <v>200</v>
      </c>
      <c r="I173" s="50"/>
      <c r="K173" s="50"/>
    </row>
    <row r="174" customFormat="false" ht="25.5" hidden="false" customHeight="false" outlineLevel="0" collapsed="false">
      <c r="A174" s="50" t="s">
        <v>719</v>
      </c>
      <c r="B174" s="50" t="s">
        <v>720</v>
      </c>
      <c r="C174" s="50" t="s">
        <v>95</v>
      </c>
      <c r="D174" s="50" t="n">
        <v>20</v>
      </c>
      <c r="E174" s="50" t="s">
        <v>113</v>
      </c>
      <c r="F174" s="50" t="s">
        <v>721</v>
      </c>
      <c r="G174" s="52" t="s">
        <v>654</v>
      </c>
      <c r="H174" s="50" t="n">
        <v>250</v>
      </c>
      <c r="I174" s="50"/>
      <c r="K174" s="50"/>
    </row>
    <row r="175" customFormat="false" ht="15" hidden="false" customHeight="false" outlineLevel="0" collapsed="false">
      <c r="A175" s="50" t="s">
        <v>722</v>
      </c>
      <c r="B175" s="50" t="s">
        <v>723</v>
      </c>
      <c r="C175" s="50" t="s">
        <v>95</v>
      </c>
      <c r="D175" s="50" t="n">
        <v>15</v>
      </c>
      <c r="E175" s="50" t="s">
        <v>113</v>
      </c>
      <c r="F175" s="50" t="s">
        <v>724</v>
      </c>
      <c r="G175" s="52" t="s">
        <v>634</v>
      </c>
      <c r="H175" s="50" t="n">
        <v>200</v>
      </c>
      <c r="I175" s="50"/>
      <c r="K175" s="50"/>
    </row>
    <row r="176" customFormat="false" ht="15" hidden="false" customHeight="false" outlineLevel="0" collapsed="false">
      <c r="A176" s="50" t="s">
        <v>725</v>
      </c>
      <c r="B176" s="50" t="s">
        <v>726</v>
      </c>
      <c r="C176" s="50" t="s">
        <v>95</v>
      </c>
      <c r="D176" s="50" t="n">
        <v>10</v>
      </c>
      <c r="E176" s="50" t="s">
        <v>113</v>
      </c>
      <c r="F176" s="50" t="s">
        <v>727</v>
      </c>
      <c r="G176" s="52" t="s">
        <v>634</v>
      </c>
      <c r="H176" s="50" t="n">
        <v>120</v>
      </c>
      <c r="I176" s="50"/>
      <c r="K176" s="50"/>
    </row>
    <row r="177" customFormat="false" ht="15" hidden="false" customHeight="false" outlineLevel="0" collapsed="false">
      <c r="A177" s="50" t="s">
        <v>728</v>
      </c>
      <c r="B177" s="50" t="s">
        <v>729</v>
      </c>
      <c r="C177" s="50" t="s">
        <v>95</v>
      </c>
      <c r="D177" s="50" t="n">
        <v>15</v>
      </c>
      <c r="E177" s="50" t="s">
        <v>113</v>
      </c>
      <c r="F177" s="50" t="s">
        <v>730</v>
      </c>
      <c r="G177" s="52" t="s">
        <v>680</v>
      </c>
      <c r="H177" s="50" t="n">
        <v>80</v>
      </c>
      <c r="I177" s="50"/>
      <c r="K177" s="50"/>
    </row>
    <row r="178" customFormat="false" ht="25.5" hidden="false" customHeight="false" outlineLevel="0" collapsed="false">
      <c r="A178" s="50" t="s">
        <v>731</v>
      </c>
      <c r="B178" s="50" t="s">
        <v>732</v>
      </c>
      <c r="C178" s="50" t="s">
        <v>95</v>
      </c>
      <c r="D178" s="50" t="n">
        <v>2</v>
      </c>
      <c r="E178" s="50" t="s">
        <v>96</v>
      </c>
      <c r="F178" s="50" t="s">
        <v>733</v>
      </c>
      <c r="G178" s="52" t="s">
        <v>634</v>
      </c>
      <c r="H178" s="50" t="n">
        <v>200</v>
      </c>
      <c r="I178" s="50"/>
      <c r="K178" s="50"/>
    </row>
    <row r="179" customFormat="false" ht="25.5" hidden="false" customHeight="false" outlineLevel="0" collapsed="false">
      <c r="A179" s="50" t="s">
        <v>734</v>
      </c>
      <c r="B179" s="50" t="s">
        <v>735</v>
      </c>
      <c r="C179" s="50" t="s">
        <v>95</v>
      </c>
      <c r="D179" s="50" t="n">
        <v>2</v>
      </c>
      <c r="E179" s="50" t="s">
        <v>96</v>
      </c>
      <c r="F179" s="50" t="s">
        <v>736</v>
      </c>
      <c r="G179" s="52" t="s">
        <v>634</v>
      </c>
      <c r="H179" s="50" t="n">
        <v>400</v>
      </c>
      <c r="I179" s="50"/>
      <c r="K179" s="50"/>
    </row>
    <row r="180" customFormat="false" ht="15" hidden="false" customHeight="false" outlineLevel="0" collapsed="false">
      <c r="A180" s="50" t="s">
        <v>737</v>
      </c>
      <c r="B180" s="50" t="s">
        <v>738</v>
      </c>
      <c r="C180" s="50" t="s">
        <v>95</v>
      </c>
      <c r="D180" s="50" t="n">
        <v>2</v>
      </c>
      <c r="E180" s="50" t="s">
        <v>96</v>
      </c>
      <c r="F180" s="50" t="s">
        <v>739</v>
      </c>
      <c r="G180" s="52" t="s">
        <v>634</v>
      </c>
      <c r="H180" s="50" t="n">
        <v>150</v>
      </c>
      <c r="I180" s="50"/>
      <c r="K180" s="50"/>
    </row>
    <row r="181" customFormat="false" ht="15" hidden="false" customHeight="false" outlineLevel="0" collapsed="false">
      <c r="A181" s="50" t="s">
        <v>740</v>
      </c>
      <c r="B181" s="50" t="s">
        <v>741</v>
      </c>
      <c r="C181" s="50" t="s">
        <v>95</v>
      </c>
      <c r="D181" s="50" t="n">
        <v>2</v>
      </c>
      <c r="E181" s="50" t="s">
        <v>96</v>
      </c>
      <c r="F181" s="50" t="s">
        <v>742</v>
      </c>
      <c r="G181" s="52" t="s">
        <v>634</v>
      </c>
      <c r="H181" s="50" t="n">
        <v>150</v>
      </c>
      <c r="I181" s="50"/>
      <c r="K181" s="50"/>
    </row>
    <row r="182" customFormat="false" ht="15" hidden="false" customHeight="false" outlineLevel="0" collapsed="false">
      <c r="A182" s="50" t="s">
        <v>743</v>
      </c>
      <c r="B182" s="50" t="s">
        <v>744</v>
      </c>
      <c r="C182" s="50" t="s">
        <v>95</v>
      </c>
      <c r="D182" s="50" t="n">
        <v>2</v>
      </c>
      <c r="E182" s="50" t="s">
        <v>96</v>
      </c>
      <c r="F182" s="50" t="s">
        <v>745</v>
      </c>
      <c r="G182" s="52" t="s">
        <v>634</v>
      </c>
      <c r="H182" s="50" t="n">
        <v>150</v>
      </c>
      <c r="I182" s="50"/>
      <c r="K182" s="50"/>
    </row>
    <row r="183" customFormat="false" ht="15" hidden="false" customHeight="false" outlineLevel="0" collapsed="false">
      <c r="A183" s="50" t="s">
        <v>746</v>
      </c>
      <c r="B183" s="50" t="s">
        <v>747</v>
      </c>
      <c r="C183" s="50" t="s">
        <v>95</v>
      </c>
      <c r="D183" s="50" t="n">
        <v>2</v>
      </c>
      <c r="E183" s="50" t="s">
        <v>96</v>
      </c>
      <c r="F183" s="50" t="s">
        <v>748</v>
      </c>
      <c r="G183" s="52" t="s">
        <v>634</v>
      </c>
      <c r="H183" s="50" t="n">
        <v>150</v>
      </c>
      <c r="I183" s="50"/>
      <c r="K183" s="50"/>
    </row>
    <row r="184" customFormat="false" ht="25.5" hidden="false" customHeight="false" outlineLevel="0" collapsed="false">
      <c r="A184" s="50" t="s">
        <v>749</v>
      </c>
      <c r="B184" s="50" t="s">
        <v>750</v>
      </c>
      <c r="C184" s="50" t="s">
        <v>95</v>
      </c>
      <c r="D184" s="50" t="n">
        <v>2</v>
      </c>
      <c r="E184" s="50" t="s">
        <v>96</v>
      </c>
      <c r="F184" s="50" t="s">
        <v>751</v>
      </c>
      <c r="G184" s="52" t="s">
        <v>634</v>
      </c>
      <c r="H184" s="50" t="n">
        <v>150</v>
      </c>
      <c r="I184" s="50"/>
      <c r="K184" s="50"/>
    </row>
    <row r="185" customFormat="false" ht="15" hidden="false" customHeight="false" outlineLevel="0" collapsed="false">
      <c r="A185" s="50" t="s">
        <v>752</v>
      </c>
      <c r="B185" s="50" t="s">
        <v>753</v>
      </c>
      <c r="C185" s="50" t="s">
        <v>95</v>
      </c>
      <c r="D185" s="50" t="n">
        <v>2</v>
      </c>
      <c r="E185" s="50" t="s">
        <v>96</v>
      </c>
      <c r="F185" s="50" t="s">
        <v>754</v>
      </c>
      <c r="G185" s="52" t="s">
        <v>680</v>
      </c>
      <c r="H185" s="50" t="n">
        <v>80</v>
      </c>
      <c r="I185" s="50"/>
      <c r="K185" s="50"/>
    </row>
    <row r="186" customFormat="false" ht="15" hidden="false" customHeight="false" outlineLevel="0" collapsed="false">
      <c r="A186" s="50" t="s">
        <v>755</v>
      </c>
      <c r="B186" s="50" t="s">
        <v>756</v>
      </c>
      <c r="C186" s="50" t="s">
        <v>95</v>
      </c>
      <c r="D186" s="50" t="n">
        <v>2</v>
      </c>
      <c r="E186" s="50" t="s">
        <v>96</v>
      </c>
      <c r="F186" s="50" t="s">
        <v>757</v>
      </c>
      <c r="G186" s="52" t="s">
        <v>758</v>
      </c>
      <c r="H186" s="50" t="n">
        <v>80</v>
      </c>
      <c r="I186" s="50"/>
      <c r="K186" s="50"/>
    </row>
    <row r="187" customFormat="false" ht="15" hidden="false" customHeight="false" outlineLevel="0" collapsed="false">
      <c r="A187" s="50" t="s">
        <v>759</v>
      </c>
      <c r="B187" s="50" t="s">
        <v>760</v>
      </c>
      <c r="C187" s="50" t="s">
        <v>95</v>
      </c>
      <c r="D187" s="50" t="n">
        <v>10</v>
      </c>
      <c r="E187" s="50" t="s">
        <v>113</v>
      </c>
      <c r="F187" s="50" t="s">
        <v>761</v>
      </c>
      <c r="G187" s="52" t="s">
        <v>680</v>
      </c>
      <c r="H187" s="50" t="n">
        <v>80</v>
      </c>
      <c r="I187" s="50"/>
      <c r="K187" s="50"/>
    </row>
    <row r="188" customFormat="false" ht="15" hidden="false" customHeight="false" outlineLevel="0" collapsed="false">
      <c r="A188" s="50" t="s">
        <v>762</v>
      </c>
      <c r="B188" s="50" t="s">
        <v>763</v>
      </c>
      <c r="C188" s="50" t="s">
        <v>95</v>
      </c>
      <c r="D188" s="50" t="n">
        <v>2</v>
      </c>
      <c r="E188" s="50" t="s">
        <v>96</v>
      </c>
      <c r="F188" s="50" t="s">
        <v>764</v>
      </c>
      <c r="G188" s="52" t="s">
        <v>708</v>
      </c>
      <c r="H188" s="50" t="n">
        <v>160</v>
      </c>
      <c r="I188" s="50"/>
      <c r="K188" s="50"/>
    </row>
    <row r="189" customFormat="false" ht="15" hidden="false" customHeight="false" outlineLevel="0" collapsed="false">
      <c r="A189" s="50" t="s">
        <v>765</v>
      </c>
      <c r="B189" s="50" t="s">
        <v>766</v>
      </c>
      <c r="C189" s="50" t="s">
        <v>95</v>
      </c>
      <c r="D189" s="50" t="n">
        <v>15</v>
      </c>
      <c r="E189" s="50" t="s">
        <v>113</v>
      </c>
      <c r="F189" s="50" t="s">
        <v>767</v>
      </c>
      <c r="G189" s="52" t="s">
        <v>634</v>
      </c>
      <c r="H189" s="50" t="n">
        <v>160</v>
      </c>
      <c r="I189" s="50"/>
      <c r="K189" s="50"/>
    </row>
    <row r="190" customFormat="false" ht="15" hidden="false" customHeight="false" outlineLevel="0" collapsed="false">
      <c r="A190" s="50" t="s">
        <v>768</v>
      </c>
      <c r="B190" s="50" t="s">
        <v>769</v>
      </c>
      <c r="C190" s="50" t="s">
        <v>95</v>
      </c>
      <c r="D190" s="50" t="n">
        <v>2</v>
      </c>
      <c r="E190" s="50" t="s">
        <v>96</v>
      </c>
      <c r="F190" s="50" t="s">
        <v>770</v>
      </c>
      <c r="G190" s="52" t="s">
        <v>634</v>
      </c>
      <c r="H190" s="50" t="n">
        <v>150</v>
      </c>
      <c r="I190" s="50"/>
      <c r="K190" s="50"/>
    </row>
    <row r="191" customFormat="false" ht="25.5" hidden="false" customHeight="false" outlineLevel="0" collapsed="false">
      <c r="A191" s="50" t="s">
        <v>771</v>
      </c>
      <c r="B191" s="50" t="s">
        <v>772</v>
      </c>
      <c r="C191" s="50" t="s">
        <v>95</v>
      </c>
      <c r="D191" s="50" t="n">
        <v>15</v>
      </c>
      <c r="E191" s="50" t="s">
        <v>113</v>
      </c>
      <c r="F191" s="50" t="s">
        <v>773</v>
      </c>
      <c r="G191" s="52" t="s">
        <v>634</v>
      </c>
      <c r="H191" s="50" t="n">
        <v>180</v>
      </c>
      <c r="I191" s="50"/>
      <c r="K191" s="50"/>
    </row>
    <row r="192" customFormat="false" ht="15" hidden="false" customHeight="false" outlineLevel="0" collapsed="false">
      <c r="A192" s="50" t="s">
        <v>774</v>
      </c>
      <c r="B192" s="50" t="s">
        <v>775</v>
      </c>
      <c r="C192" s="50" t="s">
        <v>95</v>
      </c>
      <c r="D192" s="50" t="n">
        <v>15</v>
      </c>
      <c r="E192" s="50" t="s">
        <v>113</v>
      </c>
      <c r="F192" s="50" t="s">
        <v>776</v>
      </c>
      <c r="G192" s="52" t="s">
        <v>680</v>
      </c>
      <c r="H192" s="50" t="n">
        <v>100</v>
      </c>
      <c r="I192" s="50"/>
      <c r="K192" s="50"/>
    </row>
    <row r="193" customFormat="false" ht="25.5" hidden="false" customHeight="false" outlineLevel="0" collapsed="false">
      <c r="A193" s="50" t="s">
        <v>777</v>
      </c>
      <c r="B193" s="50" t="s">
        <v>778</v>
      </c>
      <c r="C193" s="50" t="s">
        <v>95</v>
      </c>
      <c r="D193" s="50" t="n">
        <v>15</v>
      </c>
      <c r="E193" s="50" t="s">
        <v>113</v>
      </c>
      <c r="F193" s="50" t="s">
        <v>779</v>
      </c>
      <c r="G193" s="52" t="s">
        <v>680</v>
      </c>
      <c r="H193" s="50" t="n">
        <v>150</v>
      </c>
      <c r="I193" s="50"/>
      <c r="K193" s="50"/>
    </row>
    <row r="194" customFormat="false" ht="25.5" hidden="false" customHeight="false" outlineLevel="0" collapsed="false">
      <c r="A194" s="50" t="s">
        <v>780</v>
      </c>
      <c r="B194" s="50" t="s">
        <v>781</v>
      </c>
      <c r="C194" s="50" t="s">
        <v>95</v>
      </c>
      <c r="D194" s="50" t="n">
        <v>15</v>
      </c>
      <c r="E194" s="50" t="s">
        <v>113</v>
      </c>
      <c r="F194" s="50" t="s">
        <v>782</v>
      </c>
      <c r="G194" s="52" t="s">
        <v>680</v>
      </c>
      <c r="H194" s="50" t="n">
        <v>160</v>
      </c>
      <c r="I194" s="50"/>
      <c r="K194" s="50"/>
    </row>
    <row r="195" customFormat="false" ht="15" hidden="false" customHeight="false" outlineLevel="0" collapsed="false">
      <c r="A195" s="50" t="s">
        <v>783</v>
      </c>
      <c r="B195" s="50" t="s">
        <v>784</v>
      </c>
      <c r="C195" s="50" t="s">
        <v>95</v>
      </c>
      <c r="D195" s="50" t="n">
        <v>15</v>
      </c>
      <c r="E195" s="50" t="s">
        <v>113</v>
      </c>
      <c r="F195" s="50" t="s">
        <v>785</v>
      </c>
      <c r="G195" s="52" t="s">
        <v>634</v>
      </c>
      <c r="H195" s="50" t="n">
        <v>120</v>
      </c>
      <c r="I195" s="50"/>
      <c r="K195" s="50"/>
    </row>
    <row r="196" customFormat="false" ht="15" hidden="false" customHeight="false" outlineLevel="0" collapsed="false">
      <c r="A196" s="50" t="s">
        <v>786</v>
      </c>
      <c r="B196" s="50" t="s">
        <v>787</v>
      </c>
      <c r="C196" s="50" t="s">
        <v>95</v>
      </c>
      <c r="D196" s="50" t="n">
        <v>15</v>
      </c>
      <c r="E196" s="50" t="s">
        <v>113</v>
      </c>
      <c r="F196" s="50" t="s">
        <v>788</v>
      </c>
      <c r="G196" s="52" t="s">
        <v>680</v>
      </c>
      <c r="H196" s="50" t="n">
        <v>80</v>
      </c>
      <c r="I196" s="50"/>
      <c r="K196" s="50"/>
    </row>
    <row r="197" customFormat="false" ht="25.5" hidden="false" customHeight="false" outlineLevel="0" collapsed="false">
      <c r="A197" s="50" t="s">
        <v>789</v>
      </c>
      <c r="B197" s="50" t="s">
        <v>790</v>
      </c>
      <c r="C197" s="50" t="s">
        <v>95</v>
      </c>
      <c r="D197" s="50" t="n">
        <v>15</v>
      </c>
      <c r="E197" s="50" t="s">
        <v>113</v>
      </c>
      <c r="F197" s="50" t="s">
        <v>791</v>
      </c>
      <c r="G197" s="52" t="s">
        <v>758</v>
      </c>
      <c r="H197" s="50" t="n">
        <v>80</v>
      </c>
      <c r="I197" s="50"/>
      <c r="K197" s="50"/>
    </row>
    <row r="198" customFormat="false" ht="15" hidden="false" customHeight="false" outlineLevel="0" collapsed="false">
      <c r="A198" s="50" t="s">
        <v>792</v>
      </c>
      <c r="B198" s="50" t="s">
        <v>793</v>
      </c>
      <c r="C198" s="50" t="s">
        <v>95</v>
      </c>
      <c r="D198" s="50" t="n">
        <v>2</v>
      </c>
      <c r="E198" s="50" t="s">
        <v>96</v>
      </c>
      <c r="F198" s="50" t="s">
        <v>794</v>
      </c>
      <c r="G198" s="52" t="s">
        <v>715</v>
      </c>
      <c r="H198" s="50" t="n">
        <v>52</v>
      </c>
      <c r="I198" s="50"/>
      <c r="K198" s="50"/>
    </row>
    <row r="199" customFormat="false" ht="15" hidden="false" customHeight="false" outlineLevel="0" collapsed="false">
      <c r="A199" s="50" t="s">
        <v>795</v>
      </c>
      <c r="B199" s="50" t="s">
        <v>796</v>
      </c>
      <c r="C199" s="50" t="s">
        <v>95</v>
      </c>
      <c r="D199" s="50" t="n">
        <v>15</v>
      </c>
      <c r="E199" s="50" t="s">
        <v>113</v>
      </c>
      <c r="F199" s="50" t="s">
        <v>797</v>
      </c>
      <c r="G199" s="52" t="s">
        <v>798</v>
      </c>
      <c r="H199" s="50" t="n">
        <v>60</v>
      </c>
      <c r="I199" s="50"/>
      <c r="K199" s="50"/>
    </row>
    <row r="200" customFormat="false" ht="15" hidden="false" customHeight="false" outlineLevel="0" collapsed="false">
      <c r="A200" s="50" t="s">
        <v>799</v>
      </c>
      <c r="B200" s="50" t="s">
        <v>800</v>
      </c>
      <c r="C200" s="50" t="s">
        <v>95</v>
      </c>
      <c r="D200" s="50" t="n">
        <v>15</v>
      </c>
      <c r="E200" s="50" t="s">
        <v>113</v>
      </c>
      <c r="F200" s="50" t="s">
        <v>801</v>
      </c>
      <c r="G200" s="52" t="s">
        <v>798</v>
      </c>
      <c r="H200" s="50" t="n">
        <v>40</v>
      </c>
      <c r="I200" s="50"/>
      <c r="K200" s="50"/>
    </row>
    <row r="201" customFormat="false" ht="25.5" hidden="false" customHeight="false" outlineLevel="0" collapsed="false">
      <c r="A201" s="50" t="s">
        <v>802</v>
      </c>
      <c r="B201" s="50" t="s">
        <v>803</v>
      </c>
      <c r="C201" s="50" t="s">
        <v>95</v>
      </c>
      <c r="D201" s="50" t="n">
        <v>15</v>
      </c>
      <c r="E201" s="50" t="s">
        <v>113</v>
      </c>
      <c r="F201" s="50" t="s">
        <v>804</v>
      </c>
      <c r="G201" s="52" t="s">
        <v>798</v>
      </c>
      <c r="H201" s="50" t="n">
        <v>200</v>
      </c>
      <c r="I201" s="50"/>
      <c r="K201" s="50"/>
    </row>
    <row r="202" customFormat="false" ht="15" hidden="false" customHeight="false" outlineLevel="0" collapsed="false">
      <c r="A202" s="50" t="s">
        <v>805</v>
      </c>
      <c r="B202" s="50" t="s">
        <v>806</v>
      </c>
      <c r="C202" s="50" t="s">
        <v>95</v>
      </c>
      <c r="D202" s="50" t="n">
        <v>15</v>
      </c>
      <c r="E202" s="50" t="s">
        <v>113</v>
      </c>
      <c r="F202" s="50" t="s">
        <v>807</v>
      </c>
      <c r="G202" s="52" t="s">
        <v>798</v>
      </c>
      <c r="H202" s="50" t="n">
        <v>50</v>
      </c>
      <c r="I202" s="50"/>
      <c r="K202" s="50"/>
    </row>
    <row r="203" customFormat="false" ht="15" hidden="false" customHeight="false" outlineLevel="0" collapsed="false">
      <c r="A203" s="50" t="s">
        <v>808</v>
      </c>
      <c r="B203" s="50" t="s">
        <v>809</v>
      </c>
      <c r="C203" s="50" t="s">
        <v>95</v>
      </c>
      <c r="D203" s="50" t="n">
        <v>15</v>
      </c>
      <c r="E203" s="50" t="s">
        <v>113</v>
      </c>
      <c r="F203" s="50" t="s">
        <v>810</v>
      </c>
      <c r="G203" s="52" t="s">
        <v>680</v>
      </c>
      <c r="H203" s="50" t="n">
        <v>80</v>
      </c>
      <c r="I203" s="50"/>
      <c r="K203" s="50"/>
    </row>
    <row r="204" customFormat="false" ht="15" hidden="false" customHeight="false" outlineLevel="0" collapsed="false">
      <c r="A204" s="50" t="s">
        <v>811</v>
      </c>
      <c r="B204" s="50" t="s">
        <v>812</v>
      </c>
      <c r="C204" s="50" t="s">
        <v>95</v>
      </c>
      <c r="D204" s="50" t="n">
        <v>2</v>
      </c>
      <c r="E204" s="50" t="s">
        <v>96</v>
      </c>
      <c r="F204" s="50" t="s">
        <v>813</v>
      </c>
      <c r="G204" s="52" t="s">
        <v>708</v>
      </c>
      <c r="H204" s="50" t="n">
        <v>250</v>
      </c>
      <c r="I204" s="50"/>
      <c r="K204" s="50"/>
    </row>
    <row r="205" customFormat="false" ht="15" hidden="false" customHeight="false" outlineLevel="0" collapsed="false">
      <c r="A205" s="50" t="s">
        <v>814</v>
      </c>
      <c r="B205" s="50" t="s">
        <v>815</v>
      </c>
      <c r="C205" s="50" t="s">
        <v>95</v>
      </c>
      <c r="D205" s="50" t="n">
        <v>15</v>
      </c>
      <c r="E205" s="50" t="s">
        <v>113</v>
      </c>
      <c r="F205" s="50" t="s">
        <v>816</v>
      </c>
      <c r="G205" s="52" t="s">
        <v>708</v>
      </c>
      <c r="H205" s="50" t="n">
        <v>200</v>
      </c>
      <c r="I205" s="50"/>
      <c r="K205" s="50"/>
    </row>
    <row r="206" customFormat="false" ht="15" hidden="false" customHeight="false" outlineLevel="0" collapsed="false">
      <c r="A206" s="50" t="s">
        <v>817</v>
      </c>
      <c r="B206" s="50" t="s">
        <v>818</v>
      </c>
      <c r="C206" s="50" t="s">
        <v>95</v>
      </c>
      <c r="D206" s="50" t="n">
        <v>15</v>
      </c>
      <c r="E206" s="50" t="s">
        <v>113</v>
      </c>
      <c r="F206" s="50" t="s">
        <v>819</v>
      </c>
      <c r="G206" s="52" t="s">
        <v>708</v>
      </c>
      <c r="H206" s="50" t="n">
        <v>200</v>
      </c>
      <c r="I206" s="50"/>
      <c r="K206" s="50"/>
    </row>
    <row r="207" customFormat="false" ht="15" hidden="false" customHeight="false" outlineLevel="0" collapsed="false">
      <c r="A207" s="50" t="s">
        <v>820</v>
      </c>
      <c r="B207" s="50" t="s">
        <v>821</v>
      </c>
      <c r="C207" s="50" t="s">
        <v>95</v>
      </c>
      <c r="D207" s="50" t="n">
        <v>10</v>
      </c>
      <c r="E207" s="50" t="s">
        <v>113</v>
      </c>
      <c r="F207" s="50" t="s">
        <v>822</v>
      </c>
      <c r="G207" s="52" t="s">
        <v>715</v>
      </c>
      <c r="H207" s="50" t="n">
        <v>40</v>
      </c>
      <c r="I207" s="50"/>
      <c r="K207" s="50"/>
    </row>
    <row r="208" customFormat="false" ht="15" hidden="false" customHeight="false" outlineLevel="0" collapsed="false">
      <c r="A208" s="50" t="s">
        <v>823</v>
      </c>
      <c r="B208" s="50" t="s">
        <v>824</v>
      </c>
      <c r="C208" s="50" t="s">
        <v>95</v>
      </c>
      <c r="D208" s="50" t="n">
        <v>10</v>
      </c>
      <c r="E208" s="50" t="s">
        <v>113</v>
      </c>
      <c r="F208" s="50" t="s">
        <v>825</v>
      </c>
      <c r="G208" s="52" t="s">
        <v>634</v>
      </c>
      <c r="H208" s="50" t="n">
        <v>600</v>
      </c>
      <c r="I208" s="50"/>
      <c r="K208" s="50"/>
    </row>
    <row r="209" customFormat="false" ht="15" hidden="false" customHeight="false" outlineLevel="0" collapsed="false">
      <c r="A209" s="50" t="s">
        <v>826</v>
      </c>
      <c r="B209" s="50" t="s">
        <v>827</v>
      </c>
      <c r="C209" s="50" t="s">
        <v>95</v>
      </c>
      <c r="D209" s="50" t="n">
        <v>2</v>
      </c>
      <c r="E209" s="50" t="s">
        <v>96</v>
      </c>
      <c r="F209" s="50" t="s">
        <v>828</v>
      </c>
      <c r="G209" s="52" t="s">
        <v>715</v>
      </c>
      <c r="H209" s="50" t="n">
        <v>50</v>
      </c>
      <c r="I209" s="50"/>
      <c r="K209" s="50"/>
    </row>
    <row r="210" customFormat="false" ht="15" hidden="false" customHeight="false" outlineLevel="0" collapsed="false">
      <c r="A210" s="50" t="s">
        <v>829</v>
      </c>
      <c r="B210" s="50" t="s">
        <v>830</v>
      </c>
      <c r="C210" s="50" t="s">
        <v>95</v>
      </c>
      <c r="D210" s="50" t="n">
        <v>10</v>
      </c>
      <c r="E210" s="50" t="s">
        <v>113</v>
      </c>
      <c r="F210" s="50" t="s">
        <v>831</v>
      </c>
      <c r="G210" s="52" t="s">
        <v>715</v>
      </c>
      <c r="H210" s="50" t="n">
        <v>40</v>
      </c>
      <c r="I210" s="50"/>
      <c r="K210" s="50"/>
    </row>
    <row r="211" customFormat="false" ht="15" hidden="false" customHeight="false" outlineLevel="0" collapsed="false">
      <c r="A211" s="50" t="s">
        <v>832</v>
      </c>
      <c r="B211" s="50" t="s">
        <v>833</v>
      </c>
      <c r="C211" s="50" t="s">
        <v>95</v>
      </c>
      <c r="D211" s="50" t="n">
        <v>15</v>
      </c>
      <c r="E211" s="50" t="s">
        <v>113</v>
      </c>
      <c r="F211" s="50" t="s">
        <v>834</v>
      </c>
      <c r="G211" s="52" t="s">
        <v>680</v>
      </c>
      <c r="H211" s="50" t="n">
        <v>80</v>
      </c>
      <c r="I211" s="50"/>
      <c r="K211" s="50"/>
    </row>
    <row r="212" customFormat="false" ht="15" hidden="false" customHeight="false" outlineLevel="0" collapsed="false">
      <c r="A212" s="50" t="s">
        <v>835</v>
      </c>
      <c r="B212" s="50" t="s">
        <v>836</v>
      </c>
      <c r="C212" s="50" t="s">
        <v>95</v>
      </c>
      <c r="D212" s="50" t="n">
        <v>15</v>
      </c>
      <c r="E212" s="50" t="s">
        <v>113</v>
      </c>
      <c r="F212" s="50" t="s">
        <v>837</v>
      </c>
      <c r="G212" s="52" t="s">
        <v>798</v>
      </c>
      <c r="H212" s="50" t="n">
        <v>40</v>
      </c>
      <c r="I212" s="50"/>
      <c r="K212" s="50"/>
    </row>
    <row r="213" customFormat="false" ht="15" hidden="false" customHeight="false" outlineLevel="0" collapsed="false">
      <c r="A213" s="50" t="s">
        <v>838</v>
      </c>
      <c r="B213" s="50" t="s">
        <v>839</v>
      </c>
      <c r="C213" s="50" t="s">
        <v>95</v>
      </c>
      <c r="D213" s="50" t="n">
        <v>15</v>
      </c>
      <c r="E213" s="50" t="s">
        <v>113</v>
      </c>
      <c r="F213" s="50" t="s">
        <v>840</v>
      </c>
      <c r="G213" s="52" t="s">
        <v>798</v>
      </c>
      <c r="H213" s="50" t="n">
        <v>40</v>
      </c>
      <c r="I213" s="50"/>
      <c r="K213" s="50"/>
    </row>
    <row r="214" customFormat="false" ht="25.5" hidden="false" customHeight="false" outlineLevel="0" collapsed="false">
      <c r="A214" s="50" t="s">
        <v>841</v>
      </c>
      <c r="B214" s="50" t="s">
        <v>842</v>
      </c>
      <c r="C214" s="50" t="s">
        <v>95</v>
      </c>
      <c r="D214" s="50" t="n">
        <v>15</v>
      </c>
      <c r="E214" s="50" t="s">
        <v>113</v>
      </c>
      <c r="F214" s="50" t="s">
        <v>843</v>
      </c>
      <c r="G214" s="52" t="s">
        <v>634</v>
      </c>
      <c r="H214" s="50" t="n">
        <v>250</v>
      </c>
      <c r="I214" s="50"/>
      <c r="K214" s="50"/>
    </row>
    <row r="215" customFormat="false" ht="25.5" hidden="false" customHeight="false" outlineLevel="0" collapsed="false">
      <c r="A215" s="50" t="s">
        <v>844</v>
      </c>
      <c r="B215" s="50" t="s">
        <v>845</v>
      </c>
      <c r="C215" s="50" t="s">
        <v>95</v>
      </c>
      <c r="D215" s="50" t="n">
        <v>15</v>
      </c>
      <c r="E215" s="50" t="s">
        <v>113</v>
      </c>
      <c r="F215" s="50" t="s">
        <v>846</v>
      </c>
      <c r="G215" s="52" t="s">
        <v>634</v>
      </c>
      <c r="H215" s="50" t="n">
        <v>200</v>
      </c>
      <c r="I215" s="50"/>
      <c r="K215" s="50"/>
    </row>
    <row r="216" customFormat="false" ht="25.5" hidden="false" customHeight="false" outlineLevel="0" collapsed="false">
      <c r="A216" s="50" t="s">
        <v>847</v>
      </c>
      <c r="B216" s="50" t="s">
        <v>848</v>
      </c>
      <c r="C216" s="50" t="s">
        <v>95</v>
      </c>
      <c r="D216" s="50" t="n">
        <v>20</v>
      </c>
      <c r="E216" s="50" t="s">
        <v>113</v>
      </c>
      <c r="F216" s="50" t="s">
        <v>849</v>
      </c>
      <c r="G216" s="52" t="s">
        <v>798</v>
      </c>
      <c r="H216" s="50" t="n">
        <v>150</v>
      </c>
      <c r="I216" s="50"/>
      <c r="K216" s="50"/>
    </row>
    <row r="217" customFormat="false" ht="25.5" hidden="false" customHeight="false" outlineLevel="0" collapsed="false">
      <c r="A217" s="50" t="s">
        <v>850</v>
      </c>
      <c r="B217" s="50" t="s">
        <v>851</v>
      </c>
      <c r="C217" s="50" t="s">
        <v>95</v>
      </c>
      <c r="D217" s="50" t="n">
        <v>15</v>
      </c>
      <c r="E217" s="50" t="s">
        <v>113</v>
      </c>
      <c r="F217" s="50" t="s">
        <v>852</v>
      </c>
      <c r="G217" s="52" t="s">
        <v>708</v>
      </c>
      <c r="H217" s="50" t="n">
        <v>280</v>
      </c>
      <c r="I217" s="50"/>
      <c r="K217" s="50"/>
    </row>
    <row r="218" customFormat="false" ht="15" hidden="false" customHeight="false" outlineLevel="0" collapsed="false">
      <c r="A218" s="50" t="s">
        <v>853</v>
      </c>
      <c r="B218" s="50" t="s">
        <v>854</v>
      </c>
      <c r="C218" s="50" t="s">
        <v>95</v>
      </c>
      <c r="D218" s="50" t="n">
        <v>2</v>
      </c>
      <c r="E218" s="50" t="s">
        <v>96</v>
      </c>
      <c r="F218" s="50" t="s">
        <v>855</v>
      </c>
      <c r="G218" s="52" t="s">
        <v>708</v>
      </c>
      <c r="H218" s="50" t="n">
        <v>160</v>
      </c>
      <c r="I218" s="50"/>
      <c r="K218" s="50"/>
    </row>
    <row r="219" customFormat="false" ht="15" hidden="false" customHeight="false" outlineLevel="0" collapsed="false">
      <c r="A219" s="50" t="s">
        <v>856</v>
      </c>
      <c r="B219" s="50" t="s">
        <v>857</v>
      </c>
      <c r="C219" s="50" t="s">
        <v>95</v>
      </c>
      <c r="D219" s="50" t="n">
        <v>15</v>
      </c>
      <c r="E219" s="50" t="s">
        <v>113</v>
      </c>
      <c r="F219" s="50" t="s">
        <v>858</v>
      </c>
      <c r="G219" s="52" t="s">
        <v>634</v>
      </c>
      <c r="H219" s="50" t="n">
        <v>200</v>
      </c>
      <c r="I219" s="50"/>
      <c r="K219" s="50"/>
    </row>
    <row r="220" customFormat="false" ht="15" hidden="false" customHeight="false" outlineLevel="0" collapsed="false">
      <c r="A220" s="50" t="s">
        <v>859</v>
      </c>
      <c r="B220" s="50" t="s">
        <v>860</v>
      </c>
      <c r="C220" s="50" t="s">
        <v>95</v>
      </c>
      <c r="D220" s="50" t="n">
        <v>15</v>
      </c>
      <c r="E220" s="50" t="s">
        <v>113</v>
      </c>
      <c r="F220" s="50" t="s">
        <v>861</v>
      </c>
      <c r="G220" s="52" t="s">
        <v>680</v>
      </c>
      <c r="H220" s="50" t="n">
        <v>60</v>
      </c>
      <c r="I220" s="50"/>
      <c r="K220" s="50"/>
    </row>
    <row r="221" customFormat="false" ht="25.5" hidden="false" customHeight="false" outlineLevel="0" collapsed="false">
      <c r="A221" s="50" t="s">
        <v>862</v>
      </c>
      <c r="B221" s="50" t="s">
        <v>863</v>
      </c>
      <c r="C221" s="50" t="s">
        <v>95</v>
      </c>
      <c r="D221" s="50" t="n">
        <v>20</v>
      </c>
      <c r="E221" s="50" t="s">
        <v>113</v>
      </c>
      <c r="F221" s="50" t="s">
        <v>864</v>
      </c>
      <c r="G221" s="52" t="s">
        <v>865</v>
      </c>
      <c r="H221" s="50" t="n">
        <v>1</v>
      </c>
      <c r="I221" s="50"/>
      <c r="K221" s="50"/>
    </row>
    <row r="222" customFormat="false" ht="25.5" hidden="false" customHeight="false" outlineLevel="0" collapsed="false">
      <c r="A222" s="50" t="s">
        <v>866</v>
      </c>
      <c r="B222" s="50" t="s">
        <v>867</v>
      </c>
      <c r="C222" s="50" t="s">
        <v>95</v>
      </c>
      <c r="D222" s="50" t="n">
        <v>2</v>
      </c>
      <c r="E222" s="50" t="s">
        <v>96</v>
      </c>
      <c r="F222" s="50" t="s">
        <v>868</v>
      </c>
      <c r="G222" s="52" t="s">
        <v>869</v>
      </c>
      <c r="H222" s="50" t="n">
        <v>1</v>
      </c>
      <c r="I222" s="50"/>
      <c r="K222" s="50"/>
    </row>
    <row r="223" customFormat="false" ht="15" hidden="false" customHeight="false" outlineLevel="0" collapsed="false">
      <c r="A223" s="50" t="s">
        <v>870</v>
      </c>
      <c r="B223" s="50" t="s">
        <v>871</v>
      </c>
      <c r="C223" s="50" t="s">
        <v>95</v>
      </c>
      <c r="D223" s="50" t="n">
        <v>2</v>
      </c>
      <c r="E223" s="50" t="s">
        <v>96</v>
      </c>
      <c r="F223" s="50" t="s">
        <v>872</v>
      </c>
      <c r="G223" s="52" t="s">
        <v>873</v>
      </c>
      <c r="H223" s="50" t="n">
        <v>1</v>
      </c>
      <c r="I223" s="50"/>
      <c r="K223" s="50"/>
    </row>
    <row r="224" customFormat="false" ht="15" hidden="false" customHeight="false" outlineLevel="0" collapsed="false">
      <c r="A224" s="50" t="s">
        <v>874</v>
      </c>
      <c r="B224" s="50" t="s">
        <v>875</v>
      </c>
      <c r="C224" s="50" t="s">
        <v>95</v>
      </c>
      <c r="D224" s="50" t="n">
        <v>2</v>
      </c>
      <c r="E224" s="50" t="s">
        <v>96</v>
      </c>
      <c r="F224" s="50" t="s">
        <v>876</v>
      </c>
      <c r="G224" s="52" t="s">
        <v>873</v>
      </c>
      <c r="H224" s="50" t="n">
        <v>1</v>
      </c>
      <c r="I224" s="50"/>
      <c r="K224" s="50"/>
    </row>
    <row r="225" customFormat="false" ht="25.5" hidden="false" customHeight="false" outlineLevel="0" collapsed="false">
      <c r="A225" s="50" t="s">
        <v>877</v>
      </c>
      <c r="B225" s="50" t="s">
        <v>878</v>
      </c>
      <c r="C225" s="50" t="s">
        <v>95</v>
      </c>
      <c r="D225" s="50" t="n">
        <v>10</v>
      </c>
      <c r="E225" s="50" t="s">
        <v>113</v>
      </c>
      <c r="F225" s="50" t="s">
        <v>879</v>
      </c>
      <c r="G225" s="52" t="s">
        <v>880</v>
      </c>
      <c r="H225" s="50" t="n">
        <v>1</v>
      </c>
      <c r="I225" s="50"/>
      <c r="K225" s="50"/>
    </row>
    <row r="226" customFormat="false" ht="15" hidden="false" customHeight="false" outlineLevel="0" collapsed="false">
      <c r="A226" s="50" t="s">
        <v>881</v>
      </c>
      <c r="B226" s="50" t="s">
        <v>882</v>
      </c>
      <c r="C226" s="50" t="s">
        <v>95</v>
      </c>
      <c r="D226" s="50" t="n">
        <v>20</v>
      </c>
      <c r="E226" s="50" t="s">
        <v>113</v>
      </c>
      <c r="F226" s="50" t="s">
        <v>883</v>
      </c>
      <c r="G226" s="52" t="s">
        <v>884</v>
      </c>
      <c r="H226" s="50" t="n">
        <v>1</v>
      </c>
      <c r="I226" s="50"/>
      <c r="K226" s="50"/>
    </row>
    <row r="227" customFormat="false" ht="25.5" hidden="false" customHeight="false" outlineLevel="0" collapsed="false">
      <c r="A227" s="50" t="s">
        <v>885</v>
      </c>
      <c r="B227" s="50" t="s">
        <v>886</v>
      </c>
      <c r="C227" s="50" t="s">
        <v>95</v>
      </c>
      <c r="D227" s="50" t="n">
        <v>2</v>
      </c>
      <c r="E227" s="50" t="s">
        <v>96</v>
      </c>
      <c r="F227" s="50" t="s">
        <v>887</v>
      </c>
      <c r="G227" s="52" t="s">
        <v>888</v>
      </c>
      <c r="H227" s="50" t="n">
        <v>1</v>
      </c>
      <c r="I227" s="50"/>
      <c r="K227" s="50"/>
    </row>
    <row r="228" customFormat="false" ht="15" hidden="false" customHeight="false" outlineLevel="0" collapsed="false">
      <c r="A228" s="50" t="s">
        <v>889</v>
      </c>
      <c r="B228" s="50" t="s">
        <v>890</v>
      </c>
      <c r="C228" s="50" t="s">
        <v>95</v>
      </c>
      <c r="D228" s="50" t="n">
        <v>2</v>
      </c>
      <c r="E228" s="50" t="s">
        <v>96</v>
      </c>
      <c r="F228" s="50" t="s">
        <v>891</v>
      </c>
      <c r="G228" s="52" t="s">
        <v>892</v>
      </c>
      <c r="H228" s="50" t="n">
        <v>1</v>
      </c>
      <c r="I228" s="50"/>
      <c r="K228" s="50"/>
    </row>
    <row r="229" customFormat="false" ht="25.5" hidden="false" customHeight="false" outlineLevel="0" collapsed="false">
      <c r="A229" s="50" t="s">
        <v>893</v>
      </c>
      <c r="B229" s="50" t="s">
        <v>894</v>
      </c>
      <c r="C229" s="50" t="s">
        <v>95</v>
      </c>
      <c r="D229" s="50" t="n">
        <v>2</v>
      </c>
      <c r="E229" s="50" t="s">
        <v>96</v>
      </c>
      <c r="F229" s="50" t="s">
        <v>895</v>
      </c>
      <c r="G229" s="52" t="s">
        <v>888</v>
      </c>
      <c r="H229" s="50" t="n">
        <v>1</v>
      </c>
      <c r="I229" s="50"/>
      <c r="K229" s="50"/>
    </row>
    <row r="230" customFormat="false" ht="15" hidden="false" customHeight="false" outlineLevel="0" collapsed="false">
      <c r="A230" s="50" t="s">
        <v>896</v>
      </c>
      <c r="B230" s="50" t="s">
        <v>897</v>
      </c>
      <c r="C230" s="50" t="s">
        <v>95</v>
      </c>
      <c r="D230" s="50" t="n">
        <v>2</v>
      </c>
      <c r="E230" s="50" t="s">
        <v>96</v>
      </c>
      <c r="F230" s="50" t="s">
        <v>898</v>
      </c>
      <c r="G230" s="52" t="s">
        <v>884</v>
      </c>
      <c r="H230" s="50" t="n">
        <v>1</v>
      </c>
      <c r="I230" s="50"/>
      <c r="K230" s="50"/>
    </row>
    <row r="231" customFormat="false" ht="15" hidden="false" customHeight="false" outlineLevel="0" collapsed="false">
      <c r="A231" s="50" t="s">
        <v>899</v>
      </c>
      <c r="B231" s="50" t="s">
        <v>900</v>
      </c>
      <c r="C231" s="50" t="s">
        <v>95</v>
      </c>
      <c r="D231" s="50" t="n">
        <v>2</v>
      </c>
      <c r="E231" s="50" t="s">
        <v>96</v>
      </c>
      <c r="F231" s="50" t="s">
        <v>901</v>
      </c>
      <c r="G231" s="52" t="s">
        <v>902</v>
      </c>
      <c r="H231" s="50" t="n">
        <v>1</v>
      </c>
      <c r="I231" s="50"/>
      <c r="K231" s="50"/>
    </row>
    <row r="232" customFormat="false" ht="15" hidden="false" customHeight="false" outlineLevel="0" collapsed="false">
      <c r="A232" s="50" t="s">
        <v>903</v>
      </c>
      <c r="B232" s="50" t="s">
        <v>904</v>
      </c>
      <c r="C232" s="50" t="s">
        <v>95</v>
      </c>
      <c r="D232" s="50" t="n">
        <v>2</v>
      </c>
      <c r="E232" s="50" t="s">
        <v>96</v>
      </c>
      <c r="F232" s="50" t="s">
        <v>905</v>
      </c>
      <c r="G232" s="52" t="s">
        <v>902</v>
      </c>
      <c r="H232" s="50" t="n">
        <v>1</v>
      </c>
      <c r="I232" s="50"/>
      <c r="K232" s="50"/>
    </row>
    <row r="233" customFormat="false" ht="15" hidden="false" customHeight="false" outlineLevel="0" collapsed="false">
      <c r="A233" s="50" t="s">
        <v>906</v>
      </c>
      <c r="B233" s="50" t="s">
        <v>907</v>
      </c>
      <c r="C233" s="50" t="s">
        <v>95</v>
      </c>
      <c r="D233" s="50" t="n">
        <v>2</v>
      </c>
      <c r="E233" s="50" t="s">
        <v>96</v>
      </c>
      <c r="F233" s="50" t="s">
        <v>908</v>
      </c>
      <c r="G233" s="52" t="s">
        <v>758</v>
      </c>
      <c r="H233" s="50" t="n">
        <v>80</v>
      </c>
      <c r="I233" s="50"/>
      <c r="K233" s="50"/>
    </row>
    <row r="234" customFormat="false" ht="15" hidden="false" customHeight="false" outlineLevel="0" collapsed="false">
      <c r="A234" s="50" t="s">
        <v>909</v>
      </c>
      <c r="B234" s="50" t="s">
        <v>910</v>
      </c>
      <c r="C234" s="50" t="s">
        <v>95</v>
      </c>
      <c r="D234" s="50" t="n">
        <v>20</v>
      </c>
      <c r="E234" s="50" t="s">
        <v>113</v>
      </c>
      <c r="F234" s="50" t="s">
        <v>911</v>
      </c>
      <c r="G234" s="52" t="s">
        <v>758</v>
      </c>
      <c r="H234" s="50" t="n">
        <v>80</v>
      </c>
      <c r="I234" s="50"/>
      <c r="K234" s="50"/>
    </row>
    <row r="235" customFormat="false" ht="15" hidden="false" customHeight="false" outlineLevel="0" collapsed="false">
      <c r="A235" s="50" t="s">
        <v>912</v>
      </c>
      <c r="B235" s="50" t="s">
        <v>913</v>
      </c>
      <c r="C235" s="50" t="s">
        <v>95</v>
      </c>
      <c r="D235" s="50" t="n">
        <v>15</v>
      </c>
      <c r="E235" s="50" t="s">
        <v>113</v>
      </c>
      <c r="F235" s="50" t="s">
        <v>914</v>
      </c>
      <c r="G235" s="52" t="s">
        <v>758</v>
      </c>
      <c r="H235" s="50" t="n">
        <v>80</v>
      </c>
      <c r="I235" s="50"/>
      <c r="K235" s="50"/>
    </row>
    <row r="236" customFormat="false" ht="25.5" hidden="false" customHeight="false" outlineLevel="0" collapsed="false">
      <c r="A236" s="50" t="s">
        <v>915</v>
      </c>
      <c r="B236" s="50" t="s">
        <v>916</v>
      </c>
      <c r="C236" s="50" t="s">
        <v>95</v>
      </c>
      <c r="D236" s="50" t="n">
        <v>20</v>
      </c>
      <c r="E236" s="50" t="s">
        <v>113</v>
      </c>
      <c r="F236" s="50" t="s">
        <v>917</v>
      </c>
      <c r="G236" s="52" t="s">
        <v>918</v>
      </c>
      <c r="H236" s="50" t="n">
        <v>1</v>
      </c>
      <c r="I236" s="50"/>
      <c r="K236" s="50"/>
    </row>
    <row r="237" customFormat="false" ht="25.5" hidden="false" customHeight="false" outlineLevel="0" collapsed="false">
      <c r="A237" s="50" t="s">
        <v>919</v>
      </c>
      <c r="B237" s="50" t="s">
        <v>920</v>
      </c>
      <c r="C237" s="50" t="s">
        <v>95</v>
      </c>
      <c r="D237" s="50" t="n">
        <v>20</v>
      </c>
      <c r="E237" s="50" t="s">
        <v>113</v>
      </c>
      <c r="F237" s="50" t="s">
        <v>921</v>
      </c>
      <c r="G237" s="52" t="s">
        <v>918</v>
      </c>
      <c r="H237" s="50" t="n">
        <v>1</v>
      </c>
      <c r="I237" s="50"/>
      <c r="K237" s="50"/>
    </row>
    <row r="238" customFormat="false" ht="15" hidden="false" customHeight="false" outlineLevel="0" collapsed="false">
      <c r="A238" s="50" t="s">
        <v>922</v>
      </c>
      <c r="B238" s="50" t="s">
        <v>923</v>
      </c>
      <c r="C238" s="50" t="s">
        <v>95</v>
      </c>
      <c r="D238" s="50" t="n">
        <v>2</v>
      </c>
      <c r="E238" s="50" t="s">
        <v>96</v>
      </c>
      <c r="F238" s="50" t="s">
        <v>924</v>
      </c>
      <c r="G238" s="52" t="s">
        <v>925</v>
      </c>
      <c r="H238" s="50" t="n">
        <v>10</v>
      </c>
      <c r="I238" s="50"/>
      <c r="K238" s="50"/>
    </row>
    <row r="239" customFormat="false" ht="15" hidden="false" customHeight="false" outlineLevel="0" collapsed="false">
      <c r="A239" s="50" t="s">
        <v>926</v>
      </c>
      <c r="B239" s="50" t="s">
        <v>927</v>
      </c>
      <c r="C239" s="50" t="s">
        <v>95</v>
      </c>
      <c r="D239" s="50" t="n">
        <v>2</v>
      </c>
      <c r="E239" s="50" t="s">
        <v>96</v>
      </c>
      <c r="F239" s="50" t="s">
        <v>928</v>
      </c>
      <c r="G239" s="52" t="s">
        <v>902</v>
      </c>
      <c r="H239" s="50" t="n">
        <v>1</v>
      </c>
      <c r="I239" s="50"/>
      <c r="K239" s="50"/>
    </row>
    <row r="240" customFormat="false" ht="25.5" hidden="false" customHeight="false" outlineLevel="0" collapsed="false">
      <c r="A240" s="50" t="s">
        <v>929</v>
      </c>
      <c r="B240" s="50" t="s">
        <v>930</v>
      </c>
      <c r="C240" s="50" t="s">
        <v>95</v>
      </c>
      <c r="D240" s="50" t="n">
        <v>2</v>
      </c>
      <c r="E240" s="50" t="s">
        <v>96</v>
      </c>
      <c r="F240" s="50" t="s">
        <v>931</v>
      </c>
      <c r="G240" s="52" t="s">
        <v>902</v>
      </c>
      <c r="H240" s="50" t="n">
        <v>1</v>
      </c>
      <c r="I240" s="50"/>
      <c r="K240" s="50"/>
    </row>
    <row r="241" customFormat="false" ht="25.5" hidden="false" customHeight="false" outlineLevel="0" collapsed="false">
      <c r="A241" s="50" t="s">
        <v>932</v>
      </c>
      <c r="B241" s="50" t="s">
        <v>933</v>
      </c>
      <c r="C241" s="50" t="s">
        <v>95</v>
      </c>
      <c r="D241" s="50" t="n">
        <v>2</v>
      </c>
      <c r="E241" s="50" t="s">
        <v>96</v>
      </c>
      <c r="F241" s="50" t="s">
        <v>934</v>
      </c>
      <c r="G241" s="52" t="s">
        <v>935</v>
      </c>
      <c r="H241" s="50" t="n">
        <v>1</v>
      </c>
      <c r="I241" s="50"/>
      <c r="K241" s="50"/>
    </row>
    <row r="242" customFormat="false" ht="25.5" hidden="false" customHeight="false" outlineLevel="0" collapsed="false">
      <c r="A242" s="50" t="s">
        <v>936</v>
      </c>
      <c r="B242" s="50" t="s">
        <v>937</v>
      </c>
      <c r="C242" s="50" t="s">
        <v>95</v>
      </c>
      <c r="D242" s="50" t="n">
        <v>2</v>
      </c>
      <c r="E242" s="50" t="s">
        <v>96</v>
      </c>
      <c r="F242" s="50" t="s">
        <v>938</v>
      </c>
      <c r="G242" s="52" t="s">
        <v>935</v>
      </c>
      <c r="H242" s="50" t="n">
        <v>1</v>
      </c>
      <c r="I242" s="50"/>
      <c r="K242" s="50"/>
    </row>
    <row r="243" customFormat="false" ht="25.5" hidden="false" customHeight="false" outlineLevel="0" collapsed="false">
      <c r="A243" s="50" t="s">
        <v>939</v>
      </c>
      <c r="B243" s="50" t="s">
        <v>940</v>
      </c>
      <c r="C243" s="50" t="s">
        <v>95</v>
      </c>
      <c r="D243" s="50" t="n">
        <v>2</v>
      </c>
      <c r="E243" s="50" t="s">
        <v>96</v>
      </c>
      <c r="F243" s="50" t="s">
        <v>941</v>
      </c>
      <c r="G243" s="52" t="s">
        <v>942</v>
      </c>
      <c r="H243" s="50" t="n">
        <v>1</v>
      </c>
      <c r="I243" s="50"/>
      <c r="K243" s="50"/>
    </row>
    <row r="244" customFormat="false" ht="25.5" hidden="false" customHeight="false" outlineLevel="0" collapsed="false">
      <c r="A244" s="50" t="s">
        <v>943</v>
      </c>
      <c r="B244" s="50" t="s">
        <v>944</v>
      </c>
      <c r="C244" s="50" t="s">
        <v>95</v>
      </c>
      <c r="D244" s="50" t="n">
        <v>2</v>
      </c>
      <c r="E244" s="50" t="s">
        <v>96</v>
      </c>
      <c r="F244" s="50" t="s">
        <v>945</v>
      </c>
      <c r="G244" s="52" t="s">
        <v>946</v>
      </c>
      <c r="H244" s="50" t="n">
        <v>1</v>
      </c>
      <c r="I244" s="50"/>
      <c r="K244" s="50"/>
    </row>
    <row r="245" customFormat="false" ht="25.5" hidden="false" customHeight="false" outlineLevel="0" collapsed="false">
      <c r="A245" s="50" t="s">
        <v>947</v>
      </c>
      <c r="B245" s="50" t="s">
        <v>948</v>
      </c>
      <c r="C245" s="50" t="s">
        <v>95</v>
      </c>
      <c r="D245" s="50" t="n">
        <v>2</v>
      </c>
      <c r="E245" s="50" t="s">
        <v>96</v>
      </c>
      <c r="F245" s="50" t="s">
        <v>949</v>
      </c>
      <c r="G245" s="52" t="s">
        <v>946</v>
      </c>
      <c r="H245" s="50" t="n">
        <v>1</v>
      </c>
      <c r="I245" s="50"/>
      <c r="K245" s="50"/>
    </row>
    <row r="246" customFormat="false" ht="25.5" hidden="false" customHeight="false" outlineLevel="0" collapsed="false">
      <c r="A246" s="50" t="s">
        <v>950</v>
      </c>
      <c r="B246" s="50" t="s">
        <v>951</v>
      </c>
      <c r="C246" s="50" t="s">
        <v>95</v>
      </c>
      <c r="D246" s="50" t="n">
        <v>20</v>
      </c>
      <c r="E246" s="50" t="s">
        <v>113</v>
      </c>
      <c r="F246" s="50" t="s">
        <v>952</v>
      </c>
      <c r="G246" s="52" t="s">
        <v>953</v>
      </c>
      <c r="H246" s="50" t="n">
        <v>1</v>
      </c>
      <c r="I246" s="50"/>
      <c r="K246" s="50"/>
    </row>
    <row r="247" customFormat="false" ht="25.5" hidden="false" customHeight="false" outlineLevel="0" collapsed="false">
      <c r="A247" s="50" t="s">
        <v>954</v>
      </c>
      <c r="B247" s="50" t="s">
        <v>955</v>
      </c>
      <c r="C247" s="50" t="s">
        <v>95</v>
      </c>
      <c r="D247" s="50" t="n">
        <v>20</v>
      </c>
      <c r="E247" s="50" t="s">
        <v>113</v>
      </c>
      <c r="F247" s="50" t="s">
        <v>956</v>
      </c>
      <c r="G247" s="52" t="s">
        <v>957</v>
      </c>
      <c r="H247" s="50" t="n">
        <v>1</v>
      </c>
      <c r="I247" s="50"/>
      <c r="K247" s="50"/>
    </row>
    <row r="248" customFormat="false" ht="25.5" hidden="false" customHeight="false" outlineLevel="0" collapsed="false">
      <c r="A248" s="50" t="s">
        <v>958</v>
      </c>
      <c r="B248" s="50" t="s">
        <v>959</v>
      </c>
      <c r="C248" s="50" t="s">
        <v>95</v>
      </c>
      <c r="D248" s="50" t="n">
        <v>20</v>
      </c>
      <c r="E248" s="50" t="s">
        <v>113</v>
      </c>
      <c r="F248" s="50" t="s">
        <v>960</v>
      </c>
      <c r="G248" s="52" t="s">
        <v>961</v>
      </c>
      <c r="H248" s="50" t="n">
        <v>1</v>
      </c>
      <c r="I248" s="50"/>
      <c r="K248" s="50"/>
    </row>
    <row r="249" customFormat="false" ht="25.5" hidden="false" customHeight="false" outlineLevel="0" collapsed="false">
      <c r="A249" s="50" t="s">
        <v>962</v>
      </c>
      <c r="B249" s="50" t="s">
        <v>963</v>
      </c>
      <c r="C249" s="50" t="s">
        <v>95</v>
      </c>
      <c r="D249" s="50" t="n">
        <v>20</v>
      </c>
      <c r="E249" s="50" t="s">
        <v>113</v>
      </c>
      <c r="F249" s="50" t="s">
        <v>964</v>
      </c>
      <c r="G249" s="52" t="s">
        <v>961</v>
      </c>
      <c r="H249" s="50" t="n">
        <v>1</v>
      </c>
      <c r="I249" s="50"/>
      <c r="K249" s="50"/>
    </row>
    <row r="250" customFormat="false" ht="25.5" hidden="false" customHeight="false" outlineLevel="0" collapsed="false">
      <c r="A250" s="50" t="s">
        <v>965</v>
      </c>
      <c r="B250" s="50" t="s">
        <v>966</v>
      </c>
      <c r="C250" s="50" t="s">
        <v>95</v>
      </c>
      <c r="D250" s="50" t="n">
        <v>2</v>
      </c>
      <c r="E250" s="50" t="s">
        <v>96</v>
      </c>
      <c r="F250" s="50" t="s">
        <v>967</v>
      </c>
      <c r="G250" s="52" t="s">
        <v>935</v>
      </c>
      <c r="H250" s="50" t="n">
        <v>1</v>
      </c>
      <c r="I250" s="50"/>
      <c r="K250" s="50"/>
    </row>
    <row r="251" customFormat="false" ht="25.5" hidden="false" customHeight="false" outlineLevel="0" collapsed="false">
      <c r="A251" s="50" t="s">
        <v>968</v>
      </c>
      <c r="B251" s="50" t="s">
        <v>969</v>
      </c>
      <c r="C251" s="50" t="s">
        <v>95</v>
      </c>
      <c r="D251" s="50" t="n">
        <v>20</v>
      </c>
      <c r="E251" s="50" t="s">
        <v>113</v>
      </c>
      <c r="F251" s="50" t="s">
        <v>970</v>
      </c>
      <c r="G251" s="52" t="s">
        <v>935</v>
      </c>
      <c r="H251" s="50" t="n">
        <v>1</v>
      </c>
      <c r="I251" s="50"/>
      <c r="K251" s="50"/>
    </row>
    <row r="252" customFormat="false" ht="25.5" hidden="false" customHeight="false" outlineLevel="0" collapsed="false">
      <c r="A252" s="50" t="s">
        <v>971</v>
      </c>
      <c r="B252" s="50" t="s">
        <v>972</v>
      </c>
      <c r="C252" s="50" t="s">
        <v>95</v>
      </c>
      <c r="D252" s="50" t="n">
        <v>2</v>
      </c>
      <c r="E252" s="50" t="s">
        <v>96</v>
      </c>
      <c r="F252" s="50" t="s">
        <v>973</v>
      </c>
      <c r="G252" s="52" t="s">
        <v>935</v>
      </c>
      <c r="H252" s="50" t="n">
        <v>1</v>
      </c>
      <c r="I252" s="50"/>
      <c r="K252" s="50"/>
    </row>
    <row r="253" customFormat="false" ht="25.5" hidden="false" customHeight="false" outlineLevel="0" collapsed="false">
      <c r="A253" s="50" t="s">
        <v>974</v>
      </c>
      <c r="B253" s="50" t="s">
        <v>975</v>
      </c>
      <c r="C253" s="50" t="s">
        <v>95</v>
      </c>
      <c r="D253" s="50" t="n">
        <v>2</v>
      </c>
      <c r="E253" s="50" t="s">
        <v>96</v>
      </c>
      <c r="F253" s="50" t="s">
        <v>976</v>
      </c>
      <c r="G253" s="52" t="s">
        <v>942</v>
      </c>
      <c r="H253" s="50" t="n">
        <v>1</v>
      </c>
      <c r="I253" s="50"/>
      <c r="K253" s="50"/>
    </row>
    <row r="254" customFormat="false" ht="25.5" hidden="false" customHeight="false" outlineLevel="0" collapsed="false">
      <c r="A254" s="50" t="s">
        <v>977</v>
      </c>
      <c r="B254" s="50" t="s">
        <v>978</v>
      </c>
      <c r="C254" s="50" t="s">
        <v>95</v>
      </c>
      <c r="D254" s="50" t="n">
        <v>15</v>
      </c>
      <c r="E254" s="50" t="s">
        <v>113</v>
      </c>
      <c r="F254" s="50" t="s">
        <v>979</v>
      </c>
      <c r="G254" s="52" t="s">
        <v>946</v>
      </c>
      <c r="H254" s="50" t="n">
        <v>1</v>
      </c>
      <c r="I254" s="50"/>
      <c r="K254" s="50"/>
    </row>
    <row r="255" customFormat="false" ht="25.5" hidden="false" customHeight="false" outlineLevel="0" collapsed="false">
      <c r="A255" s="50" t="s">
        <v>980</v>
      </c>
      <c r="B255" s="50" t="s">
        <v>981</v>
      </c>
      <c r="C255" s="50" t="s">
        <v>95</v>
      </c>
      <c r="D255" s="50" t="n">
        <v>2</v>
      </c>
      <c r="E255" s="50" t="s">
        <v>96</v>
      </c>
      <c r="F255" s="50" t="s">
        <v>982</v>
      </c>
      <c r="G255" s="52" t="s">
        <v>946</v>
      </c>
      <c r="H255" s="50" t="n">
        <v>1</v>
      </c>
      <c r="I255" s="50"/>
      <c r="K255" s="50"/>
    </row>
    <row r="256" customFormat="false" ht="25.5" hidden="false" customHeight="false" outlineLevel="0" collapsed="false">
      <c r="A256" s="50" t="s">
        <v>983</v>
      </c>
      <c r="B256" s="50" t="s">
        <v>984</v>
      </c>
      <c r="C256" s="50" t="s">
        <v>95</v>
      </c>
      <c r="D256" s="50" t="n">
        <v>2</v>
      </c>
      <c r="E256" s="50" t="s">
        <v>96</v>
      </c>
      <c r="F256" s="50" t="s">
        <v>985</v>
      </c>
      <c r="G256" s="52" t="s">
        <v>865</v>
      </c>
      <c r="H256" s="50" t="n">
        <v>1</v>
      </c>
      <c r="I256" s="50"/>
      <c r="K256" s="50"/>
    </row>
    <row r="257" customFormat="false" ht="25.5" hidden="false" customHeight="false" outlineLevel="0" collapsed="false">
      <c r="A257" s="50" t="s">
        <v>986</v>
      </c>
      <c r="B257" s="50" t="s">
        <v>987</v>
      </c>
      <c r="C257" s="50" t="s">
        <v>95</v>
      </c>
      <c r="D257" s="50" t="n">
        <v>2</v>
      </c>
      <c r="E257" s="50" t="s">
        <v>96</v>
      </c>
      <c r="F257" s="50" t="s">
        <v>988</v>
      </c>
      <c r="G257" s="52" t="s">
        <v>865</v>
      </c>
      <c r="H257" s="50" t="n">
        <v>1</v>
      </c>
      <c r="I257" s="50"/>
      <c r="K257" s="50"/>
    </row>
    <row r="258" customFormat="false" ht="25.5" hidden="false" customHeight="false" outlineLevel="0" collapsed="false">
      <c r="A258" s="50" t="s">
        <v>989</v>
      </c>
      <c r="B258" s="50" t="s">
        <v>990</v>
      </c>
      <c r="C258" s="50" t="s">
        <v>95</v>
      </c>
      <c r="D258" s="50" t="n">
        <v>2</v>
      </c>
      <c r="E258" s="50" t="s">
        <v>96</v>
      </c>
      <c r="F258" s="50" t="s">
        <v>991</v>
      </c>
      <c r="G258" s="52" t="s">
        <v>953</v>
      </c>
      <c r="H258" s="50" t="n">
        <v>1</v>
      </c>
      <c r="I258" s="50"/>
      <c r="K258" s="50"/>
    </row>
    <row r="259" customFormat="false" ht="25.5" hidden="false" customHeight="false" outlineLevel="0" collapsed="false">
      <c r="A259" s="50" t="s">
        <v>992</v>
      </c>
      <c r="B259" s="50" t="s">
        <v>993</v>
      </c>
      <c r="C259" s="50" t="s">
        <v>95</v>
      </c>
      <c r="D259" s="50" t="n">
        <v>2</v>
      </c>
      <c r="E259" s="50" t="s">
        <v>96</v>
      </c>
      <c r="F259" s="50" t="s">
        <v>994</v>
      </c>
      <c r="G259" s="52" t="s">
        <v>865</v>
      </c>
      <c r="H259" s="50" t="n">
        <v>1</v>
      </c>
      <c r="I259" s="50"/>
      <c r="K259" s="50"/>
    </row>
    <row r="260" customFormat="false" ht="25.5" hidden="false" customHeight="false" outlineLevel="0" collapsed="false">
      <c r="A260" s="50" t="s">
        <v>995</v>
      </c>
      <c r="B260" s="50" t="s">
        <v>996</v>
      </c>
      <c r="C260" s="50" t="s">
        <v>95</v>
      </c>
      <c r="D260" s="50" t="n">
        <v>2</v>
      </c>
      <c r="E260" s="50" t="s">
        <v>96</v>
      </c>
      <c r="F260" s="50" t="s">
        <v>997</v>
      </c>
      <c r="G260" s="52" t="s">
        <v>942</v>
      </c>
      <c r="H260" s="50" t="n">
        <v>1</v>
      </c>
      <c r="I260" s="50"/>
      <c r="K260" s="50"/>
    </row>
    <row r="261" customFormat="false" ht="25.5" hidden="false" customHeight="false" outlineLevel="0" collapsed="false">
      <c r="A261" s="50" t="s">
        <v>998</v>
      </c>
      <c r="B261" s="50" t="s">
        <v>999</v>
      </c>
      <c r="C261" s="50" t="s">
        <v>95</v>
      </c>
      <c r="D261" s="50" t="n">
        <v>20</v>
      </c>
      <c r="E261" s="50" t="s">
        <v>113</v>
      </c>
      <c r="F261" s="50" t="s">
        <v>1000</v>
      </c>
      <c r="G261" s="52" t="s">
        <v>935</v>
      </c>
      <c r="H261" s="50" t="n">
        <v>1</v>
      </c>
      <c r="I261" s="50"/>
      <c r="K261" s="50"/>
    </row>
    <row r="262" customFormat="false" ht="25.5" hidden="false" customHeight="false" outlineLevel="0" collapsed="false">
      <c r="A262" s="50" t="s">
        <v>1001</v>
      </c>
      <c r="B262" s="50" t="s">
        <v>1002</v>
      </c>
      <c r="C262" s="50" t="s">
        <v>95</v>
      </c>
      <c r="D262" s="50" t="n">
        <v>2</v>
      </c>
      <c r="E262" s="50" t="s">
        <v>96</v>
      </c>
      <c r="F262" s="50" t="s">
        <v>1003</v>
      </c>
      <c r="G262" s="52" t="s">
        <v>1004</v>
      </c>
      <c r="H262" s="50" t="n">
        <v>1</v>
      </c>
      <c r="I262" s="50"/>
      <c r="K262" s="50"/>
    </row>
    <row r="263" customFormat="false" ht="15" hidden="false" customHeight="false" outlineLevel="0" collapsed="false">
      <c r="A263" s="50" t="s">
        <v>1005</v>
      </c>
      <c r="B263" s="50" t="s">
        <v>1006</v>
      </c>
      <c r="C263" s="50" t="s">
        <v>95</v>
      </c>
      <c r="D263" s="50" t="n">
        <v>15</v>
      </c>
      <c r="E263" s="50" t="s">
        <v>113</v>
      </c>
      <c r="F263" s="50" t="s">
        <v>1007</v>
      </c>
      <c r="G263" s="52" t="s">
        <v>798</v>
      </c>
      <c r="H263" s="50" t="n">
        <v>55</v>
      </c>
      <c r="I263" s="50"/>
      <c r="K263" s="50"/>
    </row>
    <row r="264" customFormat="false" ht="25.5" hidden="false" customHeight="false" outlineLevel="0" collapsed="false">
      <c r="A264" s="50" t="s">
        <v>1008</v>
      </c>
      <c r="B264" s="50" t="s">
        <v>1009</v>
      </c>
      <c r="C264" s="50" t="s">
        <v>95</v>
      </c>
      <c r="D264" s="50" t="n">
        <v>15</v>
      </c>
      <c r="E264" s="50" t="s">
        <v>113</v>
      </c>
      <c r="F264" s="50" t="s">
        <v>1010</v>
      </c>
      <c r="G264" s="52" t="s">
        <v>680</v>
      </c>
      <c r="H264" s="50" t="n">
        <v>120</v>
      </c>
      <c r="I264" s="50"/>
      <c r="K264" s="50"/>
    </row>
    <row r="265" customFormat="false" ht="15" hidden="false" customHeight="false" outlineLevel="0" collapsed="false">
      <c r="A265" s="50" t="s">
        <v>1011</v>
      </c>
      <c r="B265" s="50" t="s">
        <v>1012</v>
      </c>
      <c r="C265" s="50" t="s">
        <v>95</v>
      </c>
      <c r="D265" s="50" t="n">
        <v>2</v>
      </c>
      <c r="E265" s="50" t="s">
        <v>96</v>
      </c>
      <c r="F265" s="50" t="s">
        <v>1013</v>
      </c>
      <c r="G265" s="52" t="s">
        <v>798</v>
      </c>
      <c r="H265" s="50" t="n">
        <v>52</v>
      </c>
      <c r="I265" s="50"/>
      <c r="K265" s="50"/>
    </row>
    <row r="266" customFormat="false" ht="25.5" hidden="false" customHeight="false" outlineLevel="0" collapsed="false">
      <c r="A266" s="50" t="s">
        <v>1014</v>
      </c>
      <c r="B266" s="50" t="s">
        <v>1015</v>
      </c>
      <c r="C266" s="50" t="s">
        <v>95</v>
      </c>
      <c r="D266" s="50" t="n">
        <v>2</v>
      </c>
      <c r="E266" s="50" t="s">
        <v>96</v>
      </c>
      <c r="F266" s="50" t="s">
        <v>1016</v>
      </c>
      <c r="G266" s="52" t="s">
        <v>680</v>
      </c>
      <c r="H266" s="50" t="n">
        <v>10</v>
      </c>
      <c r="I266" s="50"/>
      <c r="K266" s="50"/>
    </row>
    <row r="267" customFormat="false" ht="25.5" hidden="false" customHeight="false" outlineLevel="0" collapsed="false">
      <c r="A267" s="50" t="s">
        <v>1017</v>
      </c>
      <c r="B267" s="50" t="s">
        <v>1018</v>
      </c>
      <c r="C267" s="50" t="s">
        <v>95</v>
      </c>
      <c r="D267" s="50" t="n">
        <v>2</v>
      </c>
      <c r="E267" s="50" t="s">
        <v>96</v>
      </c>
      <c r="F267" s="50" t="s">
        <v>1019</v>
      </c>
      <c r="G267" s="52" t="s">
        <v>1020</v>
      </c>
      <c r="H267" s="50" t="n">
        <v>1</v>
      </c>
      <c r="I267" s="50"/>
      <c r="K267" s="50"/>
    </row>
    <row r="268" customFormat="false" ht="25.5" hidden="false" customHeight="false" outlineLevel="0" collapsed="false">
      <c r="A268" s="50" t="s">
        <v>1021</v>
      </c>
      <c r="B268" s="50" t="s">
        <v>1022</v>
      </c>
      <c r="C268" s="50" t="s">
        <v>95</v>
      </c>
      <c r="D268" s="50" t="n">
        <v>2</v>
      </c>
      <c r="E268" s="50" t="s">
        <v>96</v>
      </c>
      <c r="F268" s="50" t="s">
        <v>1023</v>
      </c>
      <c r="G268" s="52" t="s">
        <v>1020</v>
      </c>
      <c r="H268" s="50" t="n">
        <v>1</v>
      </c>
      <c r="I268" s="50"/>
      <c r="K268" s="50"/>
    </row>
    <row r="269" customFormat="false" ht="25.5" hidden="false" customHeight="false" outlineLevel="0" collapsed="false">
      <c r="A269" s="50" t="s">
        <v>1024</v>
      </c>
      <c r="B269" s="50" t="s">
        <v>1025</v>
      </c>
      <c r="C269" s="50" t="s">
        <v>95</v>
      </c>
      <c r="D269" s="50" t="n">
        <v>2</v>
      </c>
      <c r="E269" s="50" t="s">
        <v>96</v>
      </c>
      <c r="F269" s="50" t="s">
        <v>1026</v>
      </c>
      <c r="G269" s="52" t="s">
        <v>1027</v>
      </c>
      <c r="H269" s="50" t="n">
        <v>1</v>
      </c>
      <c r="I269" s="50"/>
      <c r="K269" s="50"/>
    </row>
    <row r="270" customFormat="false" ht="25.5" hidden="false" customHeight="false" outlineLevel="0" collapsed="false">
      <c r="A270" s="50" t="s">
        <v>1028</v>
      </c>
      <c r="B270" s="50" t="s">
        <v>1029</v>
      </c>
      <c r="C270" s="50" t="s">
        <v>95</v>
      </c>
      <c r="D270" s="50" t="n">
        <v>2</v>
      </c>
      <c r="E270" s="50" t="s">
        <v>96</v>
      </c>
      <c r="F270" s="50" t="s">
        <v>1030</v>
      </c>
      <c r="G270" s="52" t="s">
        <v>1031</v>
      </c>
      <c r="H270" s="50" t="n">
        <v>1</v>
      </c>
      <c r="I270" s="50"/>
      <c r="K270" s="50"/>
    </row>
    <row r="271" customFormat="false" ht="25.5" hidden="false" customHeight="false" outlineLevel="0" collapsed="false">
      <c r="A271" s="50" t="s">
        <v>1032</v>
      </c>
      <c r="B271" s="50" t="s">
        <v>1033</v>
      </c>
      <c r="C271" s="50" t="s">
        <v>95</v>
      </c>
      <c r="D271" s="50" t="n">
        <v>2</v>
      </c>
      <c r="E271" s="50" t="s">
        <v>96</v>
      </c>
      <c r="F271" s="50" t="s">
        <v>1034</v>
      </c>
      <c r="G271" s="52" t="s">
        <v>1035</v>
      </c>
      <c r="H271" s="50" t="n">
        <v>1</v>
      </c>
      <c r="I271" s="50"/>
      <c r="K271" s="50"/>
    </row>
    <row r="272" customFormat="false" ht="25.5" hidden="false" customHeight="false" outlineLevel="0" collapsed="false">
      <c r="A272" s="50" t="s">
        <v>1036</v>
      </c>
      <c r="B272" s="50" t="s">
        <v>1037</v>
      </c>
      <c r="C272" s="50" t="s">
        <v>95</v>
      </c>
      <c r="D272" s="50" t="n">
        <v>2</v>
      </c>
      <c r="E272" s="50" t="s">
        <v>96</v>
      </c>
      <c r="F272" s="50" t="s">
        <v>1038</v>
      </c>
      <c r="G272" s="52" t="s">
        <v>1039</v>
      </c>
      <c r="H272" s="50" t="n">
        <v>1</v>
      </c>
      <c r="I272" s="50"/>
      <c r="K272" s="50"/>
    </row>
    <row r="273" customFormat="false" ht="25.5" hidden="false" customHeight="false" outlineLevel="0" collapsed="false">
      <c r="A273" s="50" t="s">
        <v>1040</v>
      </c>
      <c r="B273" s="50" t="s">
        <v>1041</v>
      </c>
      <c r="C273" s="50" t="s">
        <v>95</v>
      </c>
      <c r="D273" s="50" t="n">
        <v>2</v>
      </c>
      <c r="E273" s="50" t="s">
        <v>96</v>
      </c>
      <c r="F273" s="50" t="s">
        <v>1042</v>
      </c>
      <c r="G273" s="52" t="s">
        <v>1043</v>
      </c>
      <c r="H273" s="50" t="n">
        <v>1</v>
      </c>
      <c r="I273" s="50"/>
      <c r="K273" s="50"/>
    </row>
    <row r="274" customFormat="false" ht="15" hidden="false" customHeight="false" outlineLevel="0" collapsed="false">
      <c r="A274" s="50" t="s">
        <v>1044</v>
      </c>
      <c r="B274" s="50" t="s">
        <v>1045</v>
      </c>
      <c r="C274" s="50" t="s">
        <v>95</v>
      </c>
      <c r="D274" s="50" t="n">
        <v>2</v>
      </c>
      <c r="E274" s="50" t="s">
        <v>96</v>
      </c>
      <c r="F274" s="50" t="s">
        <v>1046</v>
      </c>
      <c r="G274" s="52" t="s">
        <v>1047</v>
      </c>
      <c r="H274" s="50" t="n">
        <v>1</v>
      </c>
      <c r="I274" s="50"/>
      <c r="K274" s="50"/>
    </row>
    <row r="275" customFormat="false" ht="25.5" hidden="false" customHeight="false" outlineLevel="0" collapsed="false">
      <c r="A275" s="50" t="s">
        <v>1048</v>
      </c>
      <c r="B275" s="50" t="s">
        <v>1049</v>
      </c>
      <c r="C275" s="50" t="s">
        <v>95</v>
      </c>
      <c r="D275" s="50" t="n">
        <v>2</v>
      </c>
      <c r="E275" s="50" t="s">
        <v>96</v>
      </c>
      <c r="F275" s="50" t="s">
        <v>1050</v>
      </c>
      <c r="G275" s="52" t="s">
        <v>1047</v>
      </c>
      <c r="H275" s="50" t="n">
        <v>1</v>
      </c>
      <c r="I275" s="50"/>
      <c r="K275" s="50"/>
    </row>
    <row r="276" customFormat="false" ht="25.5" hidden="false" customHeight="false" outlineLevel="0" collapsed="false">
      <c r="A276" s="50" t="s">
        <v>1051</v>
      </c>
      <c r="B276" s="50" t="s">
        <v>1052</v>
      </c>
      <c r="C276" s="50" t="s">
        <v>95</v>
      </c>
      <c r="D276" s="50" t="n">
        <v>2</v>
      </c>
      <c r="E276" s="50" t="s">
        <v>96</v>
      </c>
      <c r="F276" s="50" t="s">
        <v>1053</v>
      </c>
      <c r="G276" s="52" t="s">
        <v>1054</v>
      </c>
      <c r="H276" s="50" t="n">
        <v>1</v>
      </c>
      <c r="I276" s="50"/>
      <c r="K276" s="50"/>
    </row>
    <row r="277" customFormat="false" ht="15" hidden="false" customHeight="false" outlineLevel="0" collapsed="false">
      <c r="A277" s="50" t="s">
        <v>1055</v>
      </c>
      <c r="B277" s="50" t="s">
        <v>1056</v>
      </c>
      <c r="C277" s="50" t="s">
        <v>95</v>
      </c>
      <c r="D277" s="50" t="n">
        <v>2</v>
      </c>
      <c r="E277" s="50" t="s">
        <v>96</v>
      </c>
      <c r="F277" s="50" t="s">
        <v>1057</v>
      </c>
      <c r="G277" s="52" t="s">
        <v>1047</v>
      </c>
      <c r="H277" s="50" t="n">
        <v>1</v>
      </c>
      <c r="I277" s="50"/>
      <c r="K277" s="50"/>
    </row>
    <row r="278" customFormat="false" ht="25.5" hidden="false" customHeight="false" outlineLevel="0" collapsed="false">
      <c r="A278" s="50" t="s">
        <v>1058</v>
      </c>
      <c r="B278" s="50" t="s">
        <v>1059</v>
      </c>
      <c r="C278" s="50" t="s">
        <v>95</v>
      </c>
      <c r="D278" s="50" t="n">
        <v>20</v>
      </c>
      <c r="E278" s="50" t="s">
        <v>113</v>
      </c>
      <c r="F278" s="50" t="s">
        <v>1060</v>
      </c>
      <c r="G278" s="52" t="s">
        <v>1061</v>
      </c>
      <c r="H278" s="50" t="n">
        <v>1</v>
      </c>
      <c r="I278" s="50"/>
      <c r="K278" s="50"/>
    </row>
    <row r="279" customFormat="false" ht="15" hidden="false" customHeight="false" outlineLevel="0" collapsed="false">
      <c r="A279" s="50" t="s">
        <v>1062</v>
      </c>
      <c r="B279" s="50" t="s">
        <v>1063</v>
      </c>
      <c r="C279" s="50" t="s">
        <v>95</v>
      </c>
      <c r="D279" s="50" t="n">
        <v>2</v>
      </c>
      <c r="E279" s="50" t="s">
        <v>96</v>
      </c>
      <c r="F279" s="50" t="s">
        <v>1064</v>
      </c>
      <c r="G279" s="52" t="s">
        <v>1047</v>
      </c>
      <c r="H279" s="50" t="n">
        <v>1</v>
      </c>
      <c r="I279" s="50"/>
      <c r="K279" s="50"/>
    </row>
    <row r="280" customFormat="false" ht="15" hidden="false" customHeight="false" outlineLevel="0" collapsed="false">
      <c r="A280" s="50" t="s">
        <v>1065</v>
      </c>
      <c r="B280" s="50" t="s">
        <v>1066</v>
      </c>
      <c r="C280" s="50" t="s">
        <v>95</v>
      </c>
      <c r="D280" s="50" t="n">
        <v>2</v>
      </c>
      <c r="E280" s="50" t="s">
        <v>96</v>
      </c>
      <c r="F280" s="50" t="s">
        <v>1067</v>
      </c>
      <c r="G280" s="52" t="s">
        <v>1068</v>
      </c>
      <c r="H280" s="50" t="n">
        <v>1</v>
      </c>
      <c r="I280" s="50"/>
      <c r="K280" s="50"/>
    </row>
    <row r="281" customFormat="false" ht="15" hidden="false" customHeight="false" outlineLevel="0" collapsed="false">
      <c r="A281" s="50" t="s">
        <v>1069</v>
      </c>
      <c r="B281" s="50" t="s">
        <v>1070</v>
      </c>
      <c r="C281" s="50" t="s">
        <v>95</v>
      </c>
      <c r="D281" s="50" t="n">
        <v>2</v>
      </c>
      <c r="E281" s="50" t="s">
        <v>96</v>
      </c>
      <c r="F281" s="50" t="s">
        <v>1071</v>
      </c>
      <c r="G281" s="52" t="s">
        <v>1068</v>
      </c>
      <c r="H281" s="50" t="n">
        <v>1</v>
      </c>
      <c r="I281" s="50"/>
      <c r="K281" s="50"/>
    </row>
    <row r="282" customFormat="false" ht="25.5" hidden="false" customHeight="false" outlineLevel="0" collapsed="false">
      <c r="A282" s="50" t="s">
        <v>1072</v>
      </c>
      <c r="B282" s="50" t="s">
        <v>1073</v>
      </c>
      <c r="C282" s="50" t="s">
        <v>95</v>
      </c>
      <c r="D282" s="50" t="n">
        <v>2</v>
      </c>
      <c r="E282" s="50" t="s">
        <v>96</v>
      </c>
      <c r="F282" s="50" t="s">
        <v>1074</v>
      </c>
      <c r="G282" s="52" t="s">
        <v>1075</v>
      </c>
      <c r="H282" s="50" t="n">
        <v>4</v>
      </c>
      <c r="I282" s="50"/>
      <c r="K282" s="50"/>
    </row>
    <row r="283" customFormat="false" ht="25.5" hidden="false" customHeight="false" outlineLevel="0" collapsed="false">
      <c r="A283" s="50" t="s">
        <v>1076</v>
      </c>
      <c r="B283" s="50" t="s">
        <v>1077</v>
      </c>
      <c r="C283" s="50" t="s">
        <v>95</v>
      </c>
      <c r="D283" s="50" t="n">
        <v>2</v>
      </c>
      <c r="E283" s="50" t="s">
        <v>96</v>
      </c>
      <c r="F283" s="50" t="s">
        <v>1078</v>
      </c>
      <c r="G283" s="52" t="s">
        <v>1079</v>
      </c>
      <c r="H283" s="50" t="n">
        <v>1</v>
      </c>
      <c r="I283" s="50"/>
      <c r="K283" s="50"/>
    </row>
    <row r="284" customFormat="false" ht="25.5" hidden="false" customHeight="false" outlineLevel="0" collapsed="false">
      <c r="A284" s="50" t="s">
        <v>1080</v>
      </c>
      <c r="B284" s="50" t="s">
        <v>1081</v>
      </c>
      <c r="C284" s="50" t="s">
        <v>95</v>
      </c>
      <c r="D284" s="50" t="n">
        <v>2</v>
      </c>
      <c r="E284" s="50" t="s">
        <v>96</v>
      </c>
      <c r="F284" s="50" t="s">
        <v>1082</v>
      </c>
      <c r="G284" s="52" t="s">
        <v>1083</v>
      </c>
      <c r="H284" s="50" t="n">
        <v>1</v>
      </c>
      <c r="I284" s="50"/>
      <c r="K284" s="50"/>
    </row>
    <row r="285" customFormat="false" ht="25.5" hidden="false" customHeight="false" outlineLevel="0" collapsed="false">
      <c r="A285" s="50" t="s">
        <v>1084</v>
      </c>
      <c r="B285" s="50" t="s">
        <v>1085</v>
      </c>
      <c r="C285" s="50" t="s">
        <v>95</v>
      </c>
      <c r="D285" s="50" t="n">
        <v>2</v>
      </c>
      <c r="E285" s="50" t="s">
        <v>96</v>
      </c>
      <c r="F285" s="50" t="s">
        <v>1086</v>
      </c>
      <c r="G285" s="52" t="s">
        <v>1087</v>
      </c>
      <c r="H285" s="50" t="n">
        <v>1</v>
      </c>
      <c r="I285" s="50"/>
      <c r="K285" s="50"/>
    </row>
    <row r="286" customFormat="false" ht="25.5" hidden="false" customHeight="false" outlineLevel="0" collapsed="false">
      <c r="A286" s="50" t="s">
        <v>1088</v>
      </c>
      <c r="B286" s="50" t="s">
        <v>1089</v>
      </c>
      <c r="C286" s="50" t="s">
        <v>95</v>
      </c>
      <c r="D286" s="50" t="n">
        <v>2</v>
      </c>
      <c r="E286" s="50" t="s">
        <v>96</v>
      </c>
      <c r="F286" s="50" t="s">
        <v>1090</v>
      </c>
      <c r="G286" s="52" t="s">
        <v>1091</v>
      </c>
      <c r="H286" s="50" t="n">
        <v>1</v>
      </c>
      <c r="I286" s="50"/>
      <c r="K286" s="50"/>
    </row>
    <row r="287" customFormat="false" ht="25.5" hidden="false" customHeight="false" outlineLevel="0" collapsed="false">
      <c r="A287" s="50" t="s">
        <v>1092</v>
      </c>
      <c r="B287" s="50" t="s">
        <v>1093</v>
      </c>
      <c r="C287" s="50" t="s">
        <v>95</v>
      </c>
      <c r="D287" s="50" t="n">
        <v>2</v>
      </c>
      <c r="E287" s="50" t="s">
        <v>96</v>
      </c>
      <c r="F287" s="50" t="s">
        <v>1094</v>
      </c>
      <c r="G287" s="52" t="s">
        <v>1091</v>
      </c>
      <c r="H287" s="50" t="n">
        <v>1</v>
      </c>
      <c r="I287" s="50"/>
      <c r="K287" s="50"/>
    </row>
    <row r="288" customFormat="false" ht="25.5" hidden="false" customHeight="false" outlineLevel="0" collapsed="false">
      <c r="A288" s="50" t="s">
        <v>1095</v>
      </c>
      <c r="B288" s="50" t="s">
        <v>1096</v>
      </c>
      <c r="C288" s="50" t="s">
        <v>95</v>
      </c>
      <c r="D288" s="50" t="n">
        <v>2</v>
      </c>
      <c r="E288" s="50" t="s">
        <v>96</v>
      </c>
      <c r="F288" s="50" t="s">
        <v>1097</v>
      </c>
      <c r="G288" s="52" t="s">
        <v>1087</v>
      </c>
      <c r="H288" s="50" t="n">
        <v>1</v>
      </c>
      <c r="I288" s="50"/>
      <c r="K288" s="50"/>
    </row>
    <row r="289" customFormat="false" ht="15" hidden="false" customHeight="false" outlineLevel="0" collapsed="false">
      <c r="A289" s="50" t="s">
        <v>1098</v>
      </c>
      <c r="B289" s="50" t="s">
        <v>1099</v>
      </c>
      <c r="C289" s="50" t="s">
        <v>95</v>
      </c>
      <c r="D289" s="50" t="n">
        <v>2</v>
      </c>
      <c r="E289" s="50" t="s">
        <v>96</v>
      </c>
      <c r="F289" s="50" t="s">
        <v>1100</v>
      </c>
      <c r="G289" s="52" t="s">
        <v>1101</v>
      </c>
      <c r="H289" s="50" t="n">
        <v>18</v>
      </c>
      <c r="I289" s="50"/>
      <c r="K289" s="50"/>
    </row>
    <row r="290" customFormat="false" ht="15" hidden="false" customHeight="false" outlineLevel="0" collapsed="false">
      <c r="A290" s="50" t="s">
        <v>1102</v>
      </c>
      <c r="B290" s="50" t="s">
        <v>1103</v>
      </c>
      <c r="C290" s="50" t="s">
        <v>95</v>
      </c>
      <c r="D290" s="50" t="n">
        <v>2</v>
      </c>
      <c r="E290" s="50" t="s">
        <v>96</v>
      </c>
      <c r="F290" s="50" t="s">
        <v>1104</v>
      </c>
      <c r="G290" s="52" t="s">
        <v>1004</v>
      </c>
      <c r="H290" s="50" t="n">
        <v>1</v>
      </c>
      <c r="I290" s="50"/>
      <c r="K290" s="50"/>
    </row>
    <row r="291" customFormat="false" ht="15" hidden="false" customHeight="false" outlineLevel="0" collapsed="false">
      <c r="A291" s="50" t="s">
        <v>1105</v>
      </c>
      <c r="B291" s="50" t="s">
        <v>1106</v>
      </c>
      <c r="C291" s="50" t="s">
        <v>95</v>
      </c>
      <c r="D291" s="50" t="n">
        <v>2</v>
      </c>
      <c r="E291" s="50" t="s">
        <v>96</v>
      </c>
      <c r="F291" s="50" t="s">
        <v>1107</v>
      </c>
      <c r="G291" s="52" t="s">
        <v>1108</v>
      </c>
      <c r="H291" s="50" t="n">
        <v>1</v>
      </c>
      <c r="I291" s="50"/>
      <c r="K291" s="50"/>
    </row>
    <row r="292" customFormat="false" ht="15" hidden="false" customHeight="false" outlineLevel="0" collapsed="false">
      <c r="A292" s="50" t="s">
        <v>1109</v>
      </c>
      <c r="B292" s="50" t="s">
        <v>1110</v>
      </c>
      <c r="C292" s="50" t="s">
        <v>95</v>
      </c>
      <c r="D292" s="50" t="n">
        <v>2</v>
      </c>
      <c r="E292" s="50" t="s">
        <v>96</v>
      </c>
      <c r="F292" s="50" t="s">
        <v>1111</v>
      </c>
      <c r="G292" s="52" t="s">
        <v>1112</v>
      </c>
      <c r="H292" s="50" t="n">
        <v>0</v>
      </c>
      <c r="I292" s="50"/>
      <c r="K292" s="50"/>
    </row>
    <row r="293" customFormat="false" ht="15" hidden="false" customHeight="false" outlineLevel="0" collapsed="false">
      <c r="A293" s="50" t="s">
        <v>1113</v>
      </c>
      <c r="B293" s="50" t="s">
        <v>1114</v>
      </c>
      <c r="C293" s="50" t="s">
        <v>95</v>
      </c>
      <c r="D293" s="50" t="n">
        <v>2</v>
      </c>
      <c r="E293" s="50" t="s">
        <v>96</v>
      </c>
      <c r="F293" s="50" t="s">
        <v>1115</v>
      </c>
      <c r="G293" s="52" t="s">
        <v>1116</v>
      </c>
      <c r="H293" s="50" t="n">
        <v>1</v>
      </c>
      <c r="I293" s="50"/>
      <c r="K293" s="50"/>
    </row>
    <row r="294" customFormat="false" ht="15" hidden="false" customHeight="false" outlineLevel="0" collapsed="false">
      <c r="A294" s="50" t="s">
        <v>1117</v>
      </c>
      <c r="B294" s="50" t="s">
        <v>1118</v>
      </c>
      <c r="C294" s="50" t="s">
        <v>95</v>
      </c>
      <c r="D294" s="50" t="n">
        <v>2</v>
      </c>
      <c r="E294" s="50" t="s">
        <v>96</v>
      </c>
      <c r="F294" s="50" t="s">
        <v>1119</v>
      </c>
      <c r="G294" s="52" t="s">
        <v>1120</v>
      </c>
      <c r="H294" s="50" t="n">
        <v>1</v>
      </c>
      <c r="I294" s="50"/>
      <c r="K294" s="50"/>
    </row>
    <row r="295" customFormat="false" ht="15" hidden="false" customHeight="false" outlineLevel="0" collapsed="false">
      <c r="A295" s="50" t="s">
        <v>1121</v>
      </c>
      <c r="B295" s="50" t="s">
        <v>1122</v>
      </c>
      <c r="C295" s="50" t="s">
        <v>95</v>
      </c>
      <c r="D295" s="50" t="n">
        <v>2</v>
      </c>
      <c r="E295" s="50" t="s">
        <v>96</v>
      </c>
      <c r="F295" s="50" t="s">
        <v>1123</v>
      </c>
      <c r="G295" s="52" t="s">
        <v>1124</v>
      </c>
      <c r="H295" s="50" t="n">
        <v>7</v>
      </c>
      <c r="I295" s="50"/>
      <c r="K295" s="50"/>
    </row>
    <row r="296" customFormat="false" ht="15" hidden="false" customHeight="false" outlineLevel="0" collapsed="false">
      <c r="A296" s="50" t="s">
        <v>1125</v>
      </c>
      <c r="B296" s="50" t="s">
        <v>1126</v>
      </c>
      <c r="C296" s="50" t="s">
        <v>95</v>
      </c>
      <c r="D296" s="50" t="n">
        <v>2</v>
      </c>
      <c r="E296" s="50" t="s">
        <v>96</v>
      </c>
      <c r="F296" s="50" t="s">
        <v>1127</v>
      </c>
      <c r="G296" s="52" t="s">
        <v>1124</v>
      </c>
      <c r="H296" s="50" t="n">
        <v>7</v>
      </c>
      <c r="I296" s="50"/>
      <c r="K296" s="50"/>
    </row>
    <row r="297" customFormat="false" ht="15" hidden="false" customHeight="false" outlineLevel="0" collapsed="false">
      <c r="A297" s="50" t="s">
        <v>1128</v>
      </c>
      <c r="B297" s="50" t="s">
        <v>1129</v>
      </c>
      <c r="C297" s="50" t="s">
        <v>95</v>
      </c>
      <c r="D297" s="50" t="n">
        <v>2</v>
      </c>
      <c r="E297" s="50" t="s">
        <v>96</v>
      </c>
      <c r="F297" s="50" t="s">
        <v>1130</v>
      </c>
      <c r="G297" s="52" t="s">
        <v>1131</v>
      </c>
      <c r="H297" s="50" t="n">
        <v>8</v>
      </c>
      <c r="I297" s="50"/>
      <c r="K297" s="50"/>
    </row>
    <row r="298" customFormat="false" ht="15" hidden="false" customHeight="false" outlineLevel="0" collapsed="false">
      <c r="A298" s="50" t="s">
        <v>1132</v>
      </c>
      <c r="B298" s="50" t="s">
        <v>1133</v>
      </c>
      <c r="C298" s="50" t="s">
        <v>95</v>
      </c>
      <c r="D298" s="50" t="n">
        <v>2</v>
      </c>
      <c r="E298" s="50" t="s">
        <v>96</v>
      </c>
      <c r="F298" s="50" t="s">
        <v>1134</v>
      </c>
      <c r="G298" s="52" t="s">
        <v>1135</v>
      </c>
      <c r="H298" s="50" t="n">
        <v>1</v>
      </c>
      <c r="I298" s="50"/>
      <c r="K298" s="50"/>
    </row>
    <row r="299" customFormat="false" ht="15" hidden="false" customHeight="false" outlineLevel="0" collapsed="false">
      <c r="A299" s="50" t="s">
        <v>1136</v>
      </c>
      <c r="B299" s="50" t="s">
        <v>1137</v>
      </c>
      <c r="C299" s="50" t="s">
        <v>95</v>
      </c>
      <c r="D299" s="50" t="n">
        <v>2</v>
      </c>
      <c r="E299" s="50" t="s">
        <v>96</v>
      </c>
      <c r="F299" s="50" t="s">
        <v>1138</v>
      </c>
      <c r="G299" s="52" t="s">
        <v>1135</v>
      </c>
      <c r="H299" s="50" t="n">
        <v>1</v>
      </c>
      <c r="I299" s="50"/>
      <c r="K299" s="50"/>
    </row>
    <row r="300" customFormat="false" ht="15" hidden="false" customHeight="false" outlineLevel="0" collapsed="false">
      <c r="A300" s="50" t="s">
        <v>1139</v>
      </c>
      <c r="B300" s="50" t="s">
        <v>1140</v>
      </c>
      <c r="C300" s="50" t="s">
        <v>95</v>
      </c>
      <c r="D300" s="50" t="n">
        <v>2</v>
      </c>
      <c r="E300" s="50" t="s">
        <v>96</v>
      </c>
      <c r="F300" s="50" t="s">
        <v>1141</v>
      </c>
      <c r="G300" s="52" t="s">
        <v>439</v>
      </c>
      <c r="H300" s="50" t="n">
        <v>60</v>
      </c>
      <c r="I300" s="50"/>
      <c r="K300" s="50"/>
    </row>
    <row r="301" customFormat="false" ht="15" hidden="false" customHeight="false" outlineLevel="0" collapsed="false">
      <c r="A301" s="50" t="s">
        <v>1142</v>
      </c>
      <c r="B301" s="50" t="s">
        <v>1143</v>
      </c>
      <c r="C301" s="50" t="s">
        <v>95</v>
      </c>
      <c r="D301" s="50" t="n">
        <v>2</v>
      </c>
      <c r="E301" s="50" t="s">
        <v>96</v>
      </c>
      <c r="F301" s="50" t="s">
        <v>1144</v>
      </c>
      <c r="G301" s="52" t="s">
        <v>562</v>
      </c>
      <c r="H301" s="50" t="n">
        <v>56</v>
      </c>
      <c r="I301" s="50"/>
      <c r="K301" s="50"/>
    </row>
    <row r="302" customFormat="false" ht="15" hidden="false" customHeight="false" outlineLevel="0" collapsed="false">
      <c r="A302" s="50" t="s">
        <v>1145</v>
      </c>
      <c r="B302" s="50" t="s">
        <v>1146</v>
      </c>
      <c r="C302" s="50" t="s">
        <v>95</v>
      </c>
      <c r="D302" s="50" t="n">
        <v>2</v>
      </c>
      <c r="E302" s="50" t="s">
        <v>96</v>
      </c>
      <c r="F302" s="50" t="s">
        <v>1147</v>
      </c>
      <c r="G302" s="52" t="s">
        <v>551</v>
      </c>
      <c r="H302" s="50" t="n">
        <v>64</v>
      </c>
      <c r="I302" s="50"/>
      <c r="K302" s="50"/>
    </row>
    <row r="303" customFormat="false" ht="15" hidden="false" customHeight="false" outlineLevel="0" collapsed="false">
      <c r="A303" s="50" t="s">
        <v>1148</v>
      </c>
      <c r="B303" s="50" t="s">
        <v>1149</v>
      </c>
      <c r="C303" s="50" t="s">
        <v>95</v>
      </c>
      <c r="D303" s="50" t="n">
        <v>2</v>
      </c>
      <c r="E303" s="50" t="s">
        <v>96</v>
      </c>
      <c r="F303" s="50" t="s">
        <v>1150</v>
      </c>
      <c r="G303" s="52" t="s">
        <v>1151</v>
      </c>
      <c r="H303" s="50" t="n">
        <v>40</v>
      </c>
      <c r="I303" s="50"/>
      <c r="K303" s="50"/>
    </row>
    <row r="304" customFormat="false" ht="15" hidden="false" customHeight="false" outlineLevel="0" collapsed="false">
      <c r="A304" s="50" t="s">
        <v>1152</v>
      </c>
      <c r="B304" s="50" t="s">
        <v>1153</v>
      </c>
      <c r="C304" s="50" t="s">
        <v>95</v>
      </c>
      <c r="D304" s="50" t="n">
        <v>2</v>
      </c>
      <c r="E304" s="50" t="s">
        <v>96</v>
      </c>
      <c r="F304" s="50" t="s">
        <v>1154</v>
      </c>
      <c r="G304" s="52" t="s">
        <v>1151</v>
      </c>
      <c r="H304" s="50" t="n">
        <v>30</v>
      </c>
      <c r="I304" s="50"/>
      <c r="K304" s="50"/>
    </row>
    <row r="305" customFormat="false" ht="15" hidden="false" customHeight="false" outlineLevel="0" collapsed="false">
      <c r="A305" s="50" t="s">
        <v>1155</v>
      </c>
      <c r="B305" s="50" t="s">
        <v>1156</v>
      </c>
      <c r="C305" s="50" t="s">
        <v>95</v>
      </c>
      <c r="D305" s="50" t="n">
        <v>2</v>
      </c>
      <c r="E305" s="50" t="s">
        <v>96</v>
      </c>
      <c r="F305" s="50" t="s">
        <v>1157</v>
      </c>
      <c r="G305" s="52" t="s">
        <v>476</v>
      </c>
      <c r="H305" s="50" t="n">
        <v>15</v>
      </c>
      <c r="I305" s="50"/>
      <c r="K305" s="50"/>
    </row>
    <row r="306" customFormat="false" ht="15" hidden="false" customHeight="false" outlineLevel="0" collapsed="false">
      <c r="A306" s="50" t="s">
        <v>1158</v>
      </c>
      <c r="B306" s="50" t="s">
        <v>1159</v>
      </c>
      <c r="C306" s="50" t="s">
        <v>95</v>
      </c>
      <c r="D306" s="50" t="n">
        <v>2</v>
      </c>
      <c r="E306" s="50" t="s">
        <v>96</v>
      </c>
      <c r="F306" s="50" t="s">
        <v>1160</v>
      </c>
      <c r="G306" s="52" t="s">
        <v>1161</v>
      </c>
      <c r="H306" s="50" t="n">
        <v>28</v>
      </c>
      <c r="I306" s="50"/>
      <c r="K306" s="50"/>
    </row>
    <row r="307" customFormat="false" ht="25.5" hidden="false" customHeight="false" outlineLevel="0" collapsed="false">
      <c r="A307" s="50" t="s">
        <v>1162</v>
      </c>
      <c r="B307" s="50" t="s">
        <v>1163</v>
      </c>
      <c r="C307" s="50" t="s">
        <v>95</v>
      </c>
      <c r="D307" s="50" t="n">
        <v>2</v>
      </c>
      <c r="E307" s="50" t="s">
        <v>96</v>
      </c>
      <c r="F307" s="50" t="s">
        <v>1164</v>
      </c>
      <c r="G307" s="52" t="s">
        <v>1165</v>
      </c>
      <c r="H307" s="50" t="n">
        <v>120</v>
      </c>
      <c r="I307" s="50"/>
      <c r="K307" s="50"/>
    </row>
    <row r="308" customFormat="false" ht="15" hidden="false" customHeight="false" outlineLevel="0" collapsed="false">
      <c r="A308" s="50" t="s">
        <v>1166</v>
      </c>
      <c r="B308" s="50" t="s">
        <v>1167</v>
      </c>
      <c r="C308" s="50" t="s">
        <v>95</v>
      </c>
      <c r="D308" s="50" t="n">
        <v>2</v>
      </c>
      <c r="E308" s="50" t="s">
        <v>96</v>
      </c>
      <c r="F308" s="50" t="s">
        <v>1168</v>
      </c>
      <c r="G308" s="52" t="s">
        <v>1169</v>
      </c>
      <c r="H308" s="50" t="n">
        <v>48</v>
      </c>
      <c r="I308" s="50"/>
      <c r="K308" s="50"/>
    </row>
    <row r="309" customFormat="false" ht="15" hidden="false" customHeight="false" outlineLevel="0" collapsed="false">
      <c r="A309" s="50" t="s">
        <v>1170</v>
      </c>
      <c r="B309" s="50" t="s">
        <v>1171</v>
      </c>
      <c r="C309" s="50" t="s">
        <v>95</v>
      </c>
      <c r="D309" s="50" t="n">
        <v>2</v>
      </c>
      <c r="E309" s="50" t="s">
        <v>96</v>
      </c>
      <c r="F309" s="50" t="s">
        <v>1172</v>
      </c>
      <c r="G309" s="52" t="s">
        <v>1173</v>
      </c>
      <c r="H309" s="50" t="n">
        <v>30</v>
      </c>
      <c r="I309" s="50"/>
      <c r="K309" s="50"/>
    </row>
    <row r="310" customFormat="false" ht="25.5" hidden="false" customHeight="false" outlineLevel="0" collapsed="false">
      <c r="A310" s="50" t="s">
        <v>1174</v>
      </c>
      <c r="B310" s="50" t="s">
        <v>1175</v>
      </c>
      <c r="C310" s="50" t="s">
        <v>95</v>
      </c>
      <c r="D310" s="50" t="n">
        <v>2</v>
      </c>
      <c r="E310" s="50" t="s">
        <v>96</v>
      </c>
      <c r="F310" s="50" t="s">
        <v>1176</v>
      </c>
      <c r="G310" s="52" t="s">
        <v>1177</v>
      </c>
      <c r="H310" s="50" t="n">
        <v>0</v>
      </c>
      <c r="I310" s="50"/>
      <c r="K310" s="50"/>
    </row>
    <row r="311" customFormat="false" ht="25.5" hidden="false" customHeight="false" outlineLevel="0" collapsed="false">
      <c r="A311" s="50" t="s">
        <v>1178</v>
      </c>
      <c r="B311" s="50" t="s">
        <v>1179</v>
      </c>
      <c r="C311" s="50" t="s">
        <v>95</v>
      </c>
      <c r="D311" s="50" t="n">
        <v>2</v>
      </c>
      <c r="E311" s="50" t="s">
        <v>96</v>
      </c>
      <c r="F311" s="50" t="s">
        <v>1180</v>
      </c>
      <c r="G311" s="52" t="s">
        <v>1181</v>
      </c>
      <c r="H311" s="50" t="n">
        <v>6</v>
      </c>
      <c r="I311" s="50"/>
      <c r="K311" s="50"/>
    </row>
    <row r="312" customFormat="false" ht="25.5" hidden="false" customHeight="false" outlineLevel="0" collapsed="false">
      <c r="A312" s="50" t="s">
        <v>1182</v>
      </c>
      <c r="B312" s="50" t="s">
        <v>1183</v>
      </c>
      <c r="C312" s="50" t="s">
        <v>95</v>
      </c>
      <c r="D312" s="50" t="n">
        <v>2</v>
      </c>
      <c r="E312" s="50" t="s">
        <v>96</v>
      </c>
      <c r="F312" s="50" t="s">
        <v>1184</v>
      </c>
      <c r="G312" s="52" t="s">
        <v>1185</v>
      </c>
      <c r="H312" s="50" t="n">
        <v>4</v>
      </c>
      <c r="I312" s="50"/>
      <c r="K312" s="50"/>
    </row>
    <row r="313" customFormat="false" ht="25.5" hidden="false" customHeight="false" outlineLevel="0" collapsed="false">
      <c r="A313" s="50" t="s">
        <v>1186</v>
      </c>
      <c r="B313" s="50" t="s">
        <v>1187</v>
      </c>
      <c r="C313" s="50" t="s">
        <v>95</v>
      </c>
      <c r="D313" s="50" t="n">
        <v>15</v>
      </c>
      <c r="E313" s="50" t="s">
        <v>113</v>
      </c>
      <c r="F313" s="50" t="s">
        <v>1188</v>
      </c>
      <c r="G313" s="52" t="s">
        <v>1189</v>
      </c>
      <c r="H313" s="50" t="n">
        <v>0</v>
      </c>
      <c r="I313" s="50"/>
      <c r="K313" s="50"/>
    </row>
    <row r="314" customFormat="false" ht="25.5" hidden="false" customHeight="false" outlineLevel="0" collapsed="false">
      <c r="A314" s="50" t="s">
        <v>1190</v>
      </c>
      <c r="B314" s="50" t="s">
        <v>1191</v>
      </c>
      <c r="C314" s="50" t="s">
        <v>95</v>
      </c>
      <c r="D314" s="50" t="n">
        <v>15</v>
      </c>
      <c r="E314" s="50" t="s">
        <v>113</v>
      </c>
      <c r="F314" s="50" t="s">
        <v>1192</v>
      </c>
      <c r="G314" s="52" t="s">
        <v>1193</v>
      </c>
      <c r="H314" s="50" t="n">
        <v>0</v>
      </c>
      <c r="I314" s="50"/>
      <c r="K314" s="50"/>
    </row>
    <row r="315" customFormat="false" ht="25.5" hidden="false" customHeight="false" outlineLevel="0" collapsed="false">
      <c r="A315" s="50" t="s">
        <v>1194</v>
      </c>
      <c r="B315" s="50" t="s">
        <v>1195</v>
      </c>
      <c r="C315" s="50" t="s">
        <v>95</v>
      </c>
      <c r="D315" s="50" t="n">
        <v>2</v>
      </c>
      <c r="E315" s="50" t="s">
        <v>96</v>
      </c>
      <c r="F315" s="50" t="s">
        <v>1196</v>
      </c>
      <c r="G315" s="52" t="s">
        <v>1197</v>
      </c>
      <c r="H315" s="50" t="n">
        <v>6</v>
      </c>
      <c r="I315" s="50"/>
      <c r="K315" s="50"/>
    </row>
    <row r="316" customFormat="false" ht="25.5" hidden="false" customHeight="false" outlineLevel="0" collapsed="false">
      <c r="A316" s="50" t="s">
        <v>1198</v>
      </c>
      <c r="B316" s="50" t="s">
        <v>1199</v>
      </c>
      <c r="C316" s="50" t="s">
        <v>95</v>
      </c>
      <c r="D316" s="50" t="n">
        <v>15</v>
      </c>
      <c r="E316" s="50" t="s">
        <v>113</v>
      </c>
      <c r="F316" s="50" t="s">
        <v>1200</v>
      </c>
      <c r="G316" s="52" t="s">
        <v>1201</v>
      </c>
      <c r="H316" s="50" t="n">
        <v>0</v>
      </c>
      <c r="I316" s="50"/>
      <c r="K316" s="50"/>
    </row>
    <row r="317" customFormat="false" ht="15" hidden="false" customHeight="false" outlineLevel="0" collapsed="false">
      <c r="A317" s="50" t="s">
        <v>1202</v>
      </c>
      <c r="B317" s="50" t="s">
        <v>1203</v>
      </c>
      <c r="C317" s="50" t="s">
        <v>95</v>
      </c>
      <c r="D317" s="50" t="n">
        <v>2</v>
      </c>
      <c r="E317" s="50" t="s">
        <v>96</v>
      </c>
      <c r="F317" s="50" t="s">
        <v>1204</v>
      </c>
      <c r="G317" s="52" t="s">
        <v>1205</v>
      </c>
      <c r="H317" s="50" t="n">
        <v>8</v>
      </c>
      <c r="I317" s="50"/>
      <c r="K317" s="50"/>
    </row>
    <row r="318" customFormat="false" ht="15" hidden="false" customHeight="false" outlineLevel="0" collapsed="false">
      <c r="A318" s="50" t="s">
        <v>1206</v>
      </c>
      <c r="B318" s="50" t="s">
        <v>1207</v>
      </c>
      <c r="C318" s="50" t="s">
        <v>95</v>
      </c>
      <c r="D318" s="50" t="n">
        <v>2</v>
      </c>
      <c r="E318" s="50" t="s">
        <v>96</v>
      </c>
      <c r="F318" s="50" t="s">
        <v>1208</v>
      </c>
      <c r="G318" s="52" t="s">
        <v>1209</v>
      </c>
      <c r="H318" s="50" t="n">
        <v>8</v>
      </c>
      <c r="I318" s="50"/>
      <c r="K318" s="50"/>
    </row>
    <row r="319" customFormat="false" ht="15" hidden="false" customHeight="false" outlineLevel="0" collapsed="false">
      <c r="A319" s="50" t="s">
        <v>1210</v>
      </c>
      <c r="B319" s="50" t="s">
        <v>1211</v>
      </c>
      <c r="C319" s="50" t="s">
        <v>95</v>
      </c>
      <c r="D319" s="50" t="n">
        <v>2</v>
      </c>
      <c r="E319" s="50" t="s">
        <v>96</v>
      </c>
      <c r="F319" s="50" t="s">
        <v>1212</v>
      </c>
      <c r="G319" s="52" t="s">
        <v>1213</v>
      </c>
      <c r="H319" s="50" t="n">
        <v>1</v>
      </c>
      <c r="I319" s="50"/>
      <c r="K319" s="50"/>
    </row>
    <row r="320" customFormat="false" ht="25.5" hidden="false" customHeight="false" outlineLevel="0" collapsed="false">
      <c r="A320" s="50" t="s">
        <v>1214</v>
      </c>
      <c r="B320" s="50" t="s">
        <v>1215</v>
      </c>
      <c r="C320" s="50" t="s">
        <v>95</v>
      </c>
      <c r="D320" s="50" t="n">
        <v>2</v>
      </c>
      <c r="E320" s="50" t="s">
        <v>96</v>
      </c>
      <c r="F320" s="50" t="s">
        <v>1216</v>
      </c>
      <c r="G320" s="52" t="s">
        <v>1217</v>
      </c>
      <c r="H320" s="50" t="n">
        <v>1</v>
      </c>
      <c r="I320" s="50"/>
      <c r="K320" s="50"/>
    </row>
    <row r="321" customFormat="false" ht="15" hidden="false" customHeight="false" outlineLevel="0" collapsed="false">
      <c r="A321" s="50" t="s">
        <v>1218</v>
      </c>
      <c r="B321" s="50" t="s">
        <v>1219</v>
      </c>
      <c r="C321" s="50" t="s">
        <v>95</v>
      </c>
      <c r="D321" s="50" t="n">
        <v>2</v>
      </c>
      <c r="E321" s="50" t="s">
        <v>96</v>
      </c>
      <c r="F321" s="50" t="s">
        <v>1220</v>
      </c>
      <c r="G321" s="52" t="s">
        <v>1221</v>
      </c>
      <c r="H321" s="50" t="n">
        <v>1</v>
      </c>
      <c r="I321" s="50"/>
      <c r="K321" s="50"/>
    </row>
    <row r="322" customFormat="false" ht="15" hidden="false" customHeight="false" outlineLevel="0" collapsed="false">
      <c r="A322" s="50" t="s">
        <v>1222</v>
      </c>
      <c r="B322" s="50" t="s">
        <v>1223</v>
      </c>
      <c r="C322" s="50" t="s">
        <v>95</v>
      </c>
      <c r="D322" s="50" t="n">
        <v>2</v>
      </c>
      <c r="E322" s="50" t="s">
        <v>96</v>
      </c>
      <c r="F322" s="50" t="s">
        <v>1224</v>
      </c>
      <c r="G322" s="52" t="s">
        <v>1221</v>
      </c>
      <c r="H322" s="50" t="n">
        <v>1</v>
      </c>
      <c r="I322" s="50"/>
      <c r="K322" s="50"/>
    </row>
    <row r="323" customFormat="false" ht="15" hidden="false" customHeight="false" outlineLevel="0" collapsed="false">
      <c r="A323" s="50" t="s">
        <v>1225</v>
      </c>
      <c r="B323" s="50" t="s">
        <v>1226</v>
      </c>
      <c r="C323" s="50" t="s">
        <v>95</v>
      </c>
      <c r="D323" s="50" t="n">
        <v>2</v>
      </c>
      <c r="E323" s="50" t="s">
        <v>96</v>
      </c>
      <c r="F323" s="50" t="s">
        <v>1227</v>
      </c>
      <c r="G323" s="52" t="s">
        <v>1228</v>
      </c>
      <c r="H323" s="50" t="n">
        <v>12</v>
      </c>
      <c r="I323" s="50"/>
      <c r="K323" s="50"/>
    </row>
    <row r="324" customFormat="false" ht="15" hidden="false" customHeight="false" outlineLevel="0" collapsed="false">
      <c r="A324" s="50" t="s">
        <v>1229</v>
      </c>
      <c r="B324" s="50" t="s">
        <v>1230</v>
      </c>
      <c r="C324" s="50" t="s">
        <v>95</v>
      </c>
      <c r="D324" s="50" t="n">
        <v>2</v>
      </c>
      <c r="E324" s="50" t="s">
        <v>96</v>
      </c>
      <c r="F324" s="50" t="s">
        <v>1231</v>
      </c>
      <c r="G324" s="52" t="s">
        <v>191</v>
      </c>
      <c r="H324" s="50" t="n">
        <v>8</v>
      </c>
      <c r="I324" s="50"/>
      <c r="K324" s="50"/>
    </row>
    <row r="325" customFormat="false" ht="15" hidden="false" customHeight="false" outlineLevel="0" collapsed="false">
      <c r="A325" s="50" t="s">
        <v>1232</v>
      </c>
      <c r="B325" s="50" t="s">
        <v>1233</v>
      </c>
      <c r="C325" s="50" t="s">
        <v>95</v>
      </c>
      <c r="D325" s="50" t="n">
        <v>2</v>
      </c>
      <c r="E325" s="50" t="s">
        <v>96</v>
      </c>
      <c r="F325" s="50" t="s">
        <v>1234</v>
      </c>
      <c r="G325" s="52" t="s">
        <v>1235</v>
      </c>
      <c r="H325" s="50" t="n">
        <v>8</v>
      </c>
      <c r="I325" s="50"/>
      <c r="K325" s="50"/>
    </row>
    <row r="326" customFormat="false" ht="15" hidden="false" customHeight="false" outlineLevel="0" collapsed="false">
      <c r="A326" s="50" t="s">
        <v>1236</v>
      </c>
      <c r="B326" s="50" t="s">
        <v>1237</v>
      </c>
      <c r="C326" s="50" t="s">
        <v>95</v>
      </c>
      <c r="D326" s="50" t="n">
        <v>2</v>
      </c>
      <c r="E326" s="50" t="s">
        <v>96</v>
      </c>
      <c r="F326" s="50" t="s">
        <v>1238</v>
      </c>
      <c r="G326" s="52" t="s">
        <v>1239</v>
      </c>
      <c r="H326" s="50" t="n">
        <v>1</v>
      </c>
      <c r="I326" s="50"/>
      <c r="K326" s="50"/>
    </row>
    <row r="327" customFormat="false" ht="15" hidden="false" customHeight="false" outlineLevel="0" collapsed="false">
      <c r="A327" s="50" t="s">
        <v>1240</v>
      </c>
      <c r="B327" s="50" t="s">
        <v>1241</v>
      </c>
      <c r="C327" s="50" t="s">
        <v>95</v>
      </c>
      <c r="D327" s="50" t="n">
        <v>2</v>
      </c>
      <c r="E327" s="50" t="s">
        <v>96</v>
      </c>
      <c r="F327" s="50" t="s">
        <v>1242</v>
      </c>
      <c r="G327" s="52" t="s">
        <v>1243</v>
      </c>
      <c r="H327" s="50" t="n">
        <v>16</v>
      </c>
      <c r="I327" s="50"/>
      <c r="K327" s="50"/>
    </row>
    <row r="328" customFormat="false" ht="15" hidden="false" customHeight="false" outlineLevel="0" collapsed="false">
      <c r="A328" s="50" t="s">
        <v>1244</v>
      </c>
      <c r="B328" s="50" t="s">
        <v>1245</v>
      </c>
      <c r="C328" s="50" t="s">
        <v>95</v>
      </c>
      <c r="D328" s="50" t="n">
        <v>2</v>
      </c>
      <c r="E328" s="50" t="s">
        <v>96</v>
      </c>
      <c r="F328" s="50" t="s">
        <v>1246</v>
      </c>
      <c r="G328" s="52" t="s">
        <v>1247</v>
      </c>
      <c r="H328" s="50" t="n">
        <v>1</v>
      </c>
      <c r="I328" s="50"/>
      <c r="K328" s="50"/>
    </row>
    <row r="329" customFormat="false" ht="15" hidden="false" customHeight="false" outlineLevel="0" collapsed="false">
      <c r="A329" s="50" t="s">
        <v>1248</v>
      </c>
      <c r="B329" s="50" t="s">
        <v>1249</v>
      </c>
      <c r="C329" s="50" t="s">
        <v>95</v>
      </c>
      <c r="D329" s="50" t="n">
        <v>2</v>
      </c>
      <c r="E329" s="50" t="s">
        <v>96</v>
      </c>
      <c r="F329" s="50" t="s">
        <v>1250</v>
      </c>
      <c r="G329" s="52" t="s">
        <v>1251</v>
      </c>
      <c r="H329" s="50" t="n">
        <v>8</v>
      </c>
      <c r="I329" s="50"/>
      <c r="K329" s="50"/>
    </row>
    <row r="330" customFormat="false" ht="15" hidden="false" customHeight="false" outlineLevel="0" collapsed="false">
      <c r="A330" s="50" t="s">
        <v>1252</v>
      </c>
      <c r="B330" s="50" t="s">
        <v>1253</v>
      </c>
      <c r="C330" s="50" t="s">
        <v>95</v>
      </c>
      <c r="D330" s="50" t="n">
        <v>2</v>
      </c>
      <c r="E330" s="50" t="s">
        <v>96</v>
      </c>
      <c r="F330" s="50" t="s">
        <v>1254</v>
      </c>
      <c r="G330" s="52" t="s">
        <v>1251</v>
      </c>
      <c r="H330" s="50" t="n">
        <v>8</v>
      </c>
      <c r="I330" s="50"/>
      <c r="K330" s="50"/>
    </row>
    <row r="331" customFormat="false" ht="15" hidden="false" customHeight="false" outlineLevel="0" collapsed="false">
      <c r="A331" s="50" t="s">
        <v>1255</v>
      </c>
      <c r="B331" s="50" t="s">
        <v>1256</v>
      </c>
      <c r="C331" s="50" t="s">
        <v>95</v>
      </c>
      <c r="D331" s="50" t="n">
        <v>2</v>
      </c>
      <c r="E331" s="50" t="s">
        <v>96</v>
      </c>
      <c r="F331" s="50" t="s">
        <v>1257</v>
      </c>
      <c r="G331" s="52" t="s">
        <v>1251</v>
      </c>
      <c r="H331" s="50" t="n">
        <v>8</v>
      </c>
      <c r="I331" s="50"/>
      <c r="K331" s="50"/>
    </row>
    <row r="332" customFormat="false" ht="15" hidden="false" customHeight="false" outlineLevel="0" collapsed="false">
      <c r="A332" s="50" t="s">
        <v>1258</v>
      </c>
      <c r="B332" s="50" t="s">
        <v>1259</v>
      </c>
      <c r="C332" s="50" t="s">
        <v>95</v>
      </c>
      <c r="D332" s="50" t="n">
        <v>2</v>
      </c>
      <c r="E332" s="50" t="s">
        <v>96</v>
      </c>
      <c r="F332" s="50" t="s">
        <v>1260</v>
      </c>
      <c r="G332" s="52" t="s">
        <v>1261</v>
      </c>
      <c r="H332" s="50" t="n">
        <v>8</v>
      </c>
      <c r="I332" s="50"/>
      <c r="K332" s="50"/>
    </row>
    <row r="333" customFormat="false" ht="15" hidden="false" customHeight="false" outlineLevel="0" collapsed="false">
      <c r="A333" s="50" t="s">
        <v>1262</v>
      </c>
      <c r="B333" s="50" t="s">
        <v>1263</v>
      </c>
      <c r="C333" s="50" t="s">
        <v>95</v>
      </c>
      <c r="D333" s="50" t="n">
        <v>2</v>
      </c>
      <c r="E333" s="50" t="s">
        <v>96</v>
      </c>
      <c r="F333" s="50" t="s">
        <v>1264</v>
      </c>
      <c r="G333" s="52" t="s">
        <v>439</v>
      </c>
      <c r="H333" s="50" t="n">
        <v>16</v>
      </c>
      <c r="I333" s="50"/>
      <c r="K333" s="50"/>
    </row>
    <row r="334" customFormat="false" ht="25.5" hidden="false" customHeight="false" outlineLevel="0" collapsed="false">
      <c r="A334" s="50" t="s">
        <v>1265</v>
      </c>
      <c r="B334" s="50" t="s">
        <v>1266</v>
      </c>
      <c r="C334" s="50" t="s">
        <v>95</v>
      </c>
      <c r="D334" s="50" t="n">
        <v>10</v>
      </c>
      <c r="E334" s="50" t="s">
        <v>113</v>
      </c>
      <c r="F334" s="50" t="s">
        <v>1267</v>
      </c>
      <c r="G334" s="52" t="s">
        <v>1268</v>
      </c>
      <c r="H334" s="50" t="n">
        <v>30</v>
      </c>
      <c r="I334" s="50"/>
      <c r="K334" s="50"/>
    </row>
    <row r="335" customFormat="false" ht="15" hidden="false" customHeight="false" outlineLevel="0" collapsed="false">
      <c r="A335" s="50" t="s">
        <v>1269</v>
      </c>
      <c r="B335" s="50" t="s">
        <v>1270</v>
      </c>
      <c r="C335" s="50" t="s">
        <v>95</v>
      </c>
      <c r="D335" s="50" t="n">
        <v>2</v>
      </c>
      <c r="E335" s="50" t="s">
        <v>96</v>
      </c>
      <c r="F335" s="50" t="s">
        <v>1271</v>
      </c>
      <c r="G335" s="52" t="s">
        <v>1272</v>
      </c>
      <c r="H335" s="50" t="n">
        <v>8</v>
      </c>
      <c r="I335" s="50"/>
      <c r="K335" s="50"/>
    </row>
    <row r="336" customFormat="false" ht="15" hidden="false" customHeight="false" outlineLevel="0" collapsed="false">
      <c r="A336" s="50" t="s">
        <v>1273</v>
      </c>
      <c r="B336" s="50" t="s">
        <v>1274</v>
      </c>
      <c r="C336" s="50" t="s">
        <v>95</v>
      </c>
      <c r="D336" s="50" t="n">
        <v>2</v>
      </c>
      <c r="E336" s="50" t="s">
        <v>96</v>
      </c>
      <c r="F336" s="50" t="s">
        <v>1275</v>
      </c>
      <c r="G336" s="52" t="s">
        <v>1272</v>
      </c>
      <c r="H336" s="50" t="n">
        <v>8</v>
      </c>
      <c r="I336" s="50"/>
      <c r="K336" s="50"/>
    </row>
    <row r="337" customFormat="false" ht="15" hidden="false" customHeight="false" outlineLevel="0" collapsed="false">
      <c r="A337" s="50" t="s">
        <v>1276</v>
      </c>
      <c r="B337" s="50" t="s">
        <v>1277</v>
      </c>
      <c r="C337" s="50" t="s">
        <v>95</v>
      </c>
      <c r="D337" s="50" t="n">
        <v>2</v>
      </c>
      <c r="E337" s="50" t="s">
        <v>96</v>
      </c>
      <c r="F337" s="50" t="s">
        <v>1278</v>
      </c>
      <c r="G337" s="52" t="s">
        <v>1272</v>
      </c>
      <c r="H337" s="50" t="n">
        <v>8</v>
      </c>
      <c r="I337" s="50"/>
      <c r="K337" s="50"/>
    </row>
    <row r="338" customFormat="false" ht="15" hidden="false" customHeight="false" outlineLevel="0" collapsed="false">
      <c r="A338" s="50" t="s">
        <v>1279</v>
      </c>
      <c r="B338" s="50" t="s">
        <v>1280</v>
      </c>
      <c r="C338" s="50" t="s">
        <v>95</v>
      </c>
      <c r="D338" s="50" t="n">
        <v>2</v>
      </c>
      <c r="E338" s="50" t="s">
        <v>96</v>
      </c>
      <c r="F338" s="50" t="s">
        <v>1281</v>
      </c>
      <c r="G338" s="52" t="s">
        <v>1282</v>
      </c>
      <c r="H338" s="50" t="n">
        <v>8</v>
      </c>
      <c r="I338" s="50"/>
      <c r="K338" s="50"/>
    </row>
    <row r="339" customFormat="false" ht="15" hidden="false" customHeight="false" outlineLevel="0" collapsed="false">
      <c r="A339" s="50" t="s">
        <v>1283</v>
      </c>
      <c r="B339" s="50" t="s">
        <v>1284</v>
      </c>
      <c r="C339" s="50" t="s">
        <v>95</v>
      </c>
      <c r="D339" s="50" t="n">
        <v>2</v>
      </c>
      <c r="E339" s="50" t="s">
        <v>96</v>
      </c>
      <c r="F339" s="50" t="s">
        <v>1285</v>
      </c>
      <c r="G339" s="52" t="s">
        <v>1243</v>
      </c>
      <c r="H339" s="50" t="n">
        <v>16</v>
      </c>
      <c r="I339" s="50"/>
      <c r="K339" s="50"/>
    </row>
    <row r="340" customFormat="false" ht="15" hidden="false" customHeight="false" outlineLevel="0" collapsed="false">
      <c r="A340" s="50" t="s">
        <v>1286</v>
      </c>
      <c r="B340" s="50" t="s">
        <v>1287</v>
      </c>
      <c r="C340" s="50" t="s">
        <v>95</v>
      </c>
      <c r="D340" s="50" t="n">
        <v>2</v>
      </c>
      <c r="E340" s="50" t="s">
        <v>96</v>
      </c>
      <c r="F340" s="50" t="s">
        <v>1288</v>
      </c>
      <c r="G340" s="52" t="s">
        <v>1108</v>
      </c>
      <c r="H340" s="50" t="n">
        <v>81</v>
      </c>
      <c r="I340" s="50"/>
      <c r="K340" s="50"/>
    </row>
    <row r="341" customFormat="false" ht="15" hidden="false" customHeight="false" outlineLevel="0" collapsed="false">
      <c r="A341" s="50" t="s">
        <v>1289</v>
      </c>
      <c r="B341" s="50" t="s">
        <v>1290</v>
      </c>
      <c r="C341" s="50" t="s">
        <v>95</v>
      </c>
      <c r="D341" s="50" t="n">
        <v>2</v>
      </c>
      <c r="E341" s="50" t="s">
        <v>96</v>
      </c>
      <c r="F341" s="50" t="s">
        <v>1291</v>
      </c>
      <c r="G341" s="52" t="s">
        <v>1292</v>
      </c>
      <c r="H341" s="50" t="n">
        <v>80</v>
      </c>
      <c r="I341" s="50"/>
      <c r="K341" s="50"/>
    </row>
    <row r="342" customFormat="false" ht="15" hidden="false" customHeight="false" outlineLevel="0" collapsed="false">
      <c r="A342" s="50" t="s">
        <v>1293</v>
      </c>
      <c r="B342" s="50" t="s">
        <v>1294</v>
      </c>
      <c r="C342" s="50" t="s">
        <v>95</v>
      </c>
      <c r="D342" s="50" t="n">
        <v>2</v>
      </c>
      <c r="E342" s="50" t="s">
        <v>96</v>
      </c>
      <c r="F342" s="50" t="s">
        <v>1295</v>
      </c>
      <c r="G342" s="52" t="s">
        <v>1296</v>
      </c>
      <c r="H342" s="50" t="n">
        <v>60</v>
      </c>
      <c r="I342" s="50"/>
      <c r="K342" s="50"/>
    </row>
    <row r="343" customFormat="false" ht="15" hidden="false" customHeight="false" outlineLevel="0" collapsed="false">
      <c r="A343" s="50" t="s">
        <v>1297</v>
      </c>
      <c r="B343" s="50" t="s">
        <v>1298</v>
      </c>
      <c r="C343" s="50" t="s">
        <v>95</v>
      </c>
      <c r="D343" s="50" t="n">
        <v>2</v>
      </c>
      <c r="E343" s="50" t="s">
        <v>96</v>
      </c>
      <c r="F343" s="50" t="s">
        <v>1299</v>
      </c>
      <c r="G343" s="52" t="s">
        <v>1296</v>
      </c>
      <c r="H343" s="50" t="n">
        <v>50</v>
      </c>
      <c r="I343" s="50"/>
      <c r="K343" s="50"/>
    </row>
    <row r="344" customFormat="false" ht="15" hidden="false" customHeight="false" outlineLevel="0" collapsed="false">
      <c r="A344" s="50" t="s">
        <v>1300</v>
      </c>
      <c r="B344" s="50" t="s">
        <v>1301</v>
      </c>
      <c r="C344" s="50" t="s">
        <v>95</v>
      </c>
      <c r="D344" s="50" t="n">
        <v>2</v>
      </c>
      <c r="E344" s="50" t="s">
        <v>96</v>
      </c>
      <c r="F344" s="50" t="s">
        <v>1302</v>
      </c>
      <c r="G344" s="52" t="s">
        <v>1303</v>
      </c>
      <c r="H344" s="50" t="n">
        <v>10</v>
      </c>
      <c r="I344" s="50"/>
      <c r="K344" s="50"/>
    </row>
    <row r="345" customFormat="false" ht="15" hidden="false" customHeight="false" outlineLevel="0" collapsed="false">
      <c r="A345" s="50" t="s">
        <v>1304</v>
      </c>
      <c r="B345" s="50" t="s">
        <v>1305</v>
      </c>
      <c r="C345" s="50" t="s">
        <v>95</v>
      </c>
      <c r="D345" s="50" t="n">
        <v>2</v>
      </c>
      <c r="E345" s="50" t="s">
        <v>96</v>
      </c>
      <c r="F345" s="50" t="s">
        <v>1306</v>
      </c>
      <c r="G345" s="52" t="s">
        <v>1307</v>
      </c>
      <c r="H345" s="50" t="n">
        <v>40</v>
      </c>
      <c r="I345" s="50"/>
      <c r="K345" s="50"/>
    </row>
    <row r="346" customFormat="false" ht="15" hidden="false" customHeight="false" outlineLevel="0" collapsed="false">
      <c r="A346" s="50" t="s">
        <v>1308</v>
      </c>
      <c r="B346" s="50" t="s">
        <v>1309</v>
      </c>
      <c r="C346" s="50" t="s">
        <v>95</v>
      </c>
      <c r="D346" s="50" t="n">
        <v>2</v>
      </c>
      <c r="E346" s="50" t="s">
        <v>96</v>
      </c>
      <c r="F346" s="50" t="s">
        <v>1310</v>
      </c>
      <c r="G346" s="52" t="s">
        <v>1311</v>
      </c>
      <c r="H346" s="50" t="n">
        <v>78</v>
      </c>
      <c r="I346" s="50"/>
      <c r="K346" s="50"/>
    </row>
    <row r="347" customFormat="false" ht="25.5" hidden="false" customHeight="false" outlineLevel="0" collapsed="false">
      <c r="A347" s="50" t="s">
        <v>1312</v>
      </c>
      <c r="B347" s="50" t="s">
        <v>1313</v>
      </c>
      <c r="C347" s="50" t="s">
        <v>95</v>
      </c>
      <c r="D347" s="50" t="n">
        <v>2</v>
      </c>
      <c r="E347" s="50" t="s">
        <v>96</v>
      </c>
      <c r="F347" s="50" t="s">
        <v>1314</v>
      </c>
      <c r="G347" s="52" t="s">
        <v>1251</v>
      </c>
      <c r="H347" s="50" t="n">
        <v>10</v>
      </c>
      <c r="I347" s="50"/>
      <c r="K347" s="50"/>
    </row>
    <row r="348" customFormat="false" ht="15" hidden="false" customHeight="false" outlineLevel="0" collapsed="false">
      <c r="A348" s="50" t="s">
        <v>1315</v>
      </c>
      <c r="B348" s="50" t="s">
        <v>1316</v>
      </c>
      <c r="C348" s="50" t="s">
        <v>95</v>
      </c>
      <c r="D348" s="50" t="n">
        <v>2</v>
      </c>
      <c r="E348" s="50" t="s">
        <v>96</v>
      </c>
      <c r="F348" s="50" t="s">
        <v>1317</v>
      </c>
      <c r="G348" s="52" t="s">
        <v>1169</v>
      </c>
      <c r="H348" s="50" t="n">
        <v>48</v>
      </c>
      <c r="I348" s="50"/>
      <c r="K348" s="50"/>
    </row>
    <row r="349" customFormat="false" ht="15" hidden="false" customHeight="false" outlineLevel="0" collapsed="false">
      <c r="A349" s="50" t="s">
        <v>1318</v>
      </c>
      <c r="B349" s="50" t="s">
        <v>1319</v>
      </c>
      <c r="C349" s="50" t="s">
        <v>95</v>
      </c>
      <c r="D349" s="50" t="n">
        <v>2</v>
      </c>
      <c r="E349" s="50" t="s">
        <v>96</v>
      </c>
      <c r="F349" s="50" t="s">
        <v>1320</v>
      </c>
      <c r="G349" s="52" t="s">
        <v>1321</v>
      </c>
      <c r="H349" s="50" t="n">
        <v>0</v>
      </c>
      <c r="I349" s="50"/>
      <c r="K349" s="50"/>
    </row>
    <row r="350" customFormat="false" ht="15" hidden="false" customHeight="false" outlineLevel="0" collapsed="false">
      <c r="A350" s="50" t="s">
        <v>1322</v>
      </c>
      <c r="B350" s="50" t="s">
        <v>1323</v>
      </c>
      <c r="C350" s="50" t="s">
        <v>95</v>
      </c>
      <c r="D350" s="50" t="n">
        <v>2</v>
      </c>
      <c r="E350" s="50" t="s">
        <v>96</v>
      </c>
      <c r="F350" s="50" t="s">
        <v>1324</v>
      </c>
      <c r="G350" s="52" t="s">
        <v>1325</v>
      </c>
      <c r="H350" s="50" t="n">
        <v>0</v>
      </c>
      <c r="I350" s="50"/>
      <c r="K350" s="50"/>
    </row>
    <row r="351" customFormat="false" ht="15" hidden="false" customHeight="false" outlineLevel="0" collapsed="false">
      <c r="A351" s="50" t="s">
        <v>1326</v>
      </c>
      <c r="B351" s="50" t="s">
        <v>1327</v>
      </c>
      <c r="C351" s="50" t="s">
        <v>95</v>
      </c>
      <c r="D351" s="50" t="n">
        <v>2</v>
      </c>
      <c r="E351" s="50" t="s">
        <v>96</v>
      </c>
      <c r="F351" s="50" t="s">
        <v>1328</v>
      </c>
      <c r="G351" s="52" t="s">
        <v>484</v>
      </c>
      <c r="H351" s="50" t="n">
        <v>80</v>
      </c>
      <c r="I351" s="50"/>
      <c r="K351" s="50"/>
    </row>
    <row r="352" customFormat="false" ht="15" hidden="false" customHeight="false" outlineLevel="0" collapsed="false">
      <c r="A352" s="50" t="s">
        <v>1329</v>
      </c>
      <c r="B352" s="50" t="s">
        <v>1330</v>
      </c>
      <c r="C352" s="50" t="s">
        <v>95</v>
      </c>
      <c r="D352" s="50" t="n">
        <v>2</v>
      </c>
      <c r="E352" s="50" t="s">
        <v>96</v>
      </c>
      <c r="F352" s="50" t="s">
        <v>1331</v>
      </c>
      <c r="G352" s="52" t="s">
        <v>1332</v>
      </c>
      <c r="H352" s="50" t="n">
        <v>250</v>
      </c>
      <c r="I352" s="50"/>
      <c r="K352" s="50"/>
    </row>
    <row r="353" customFormat="false" ht="15" hidden="false" customHeight="false" outlineLevel="0" collapsed="false">
      <c r="A353" s="50" t="s">
        <v>1333</v>
      </c>
      <c r="B353" s="50" t="s">
        <v>1334</v>
      </c>
      <c r="C353" s="50" t="s">
        <v>95</v>
      </c>
      <c r="D353" s="50" t="n">
        <v>2</v>
      </c>
      <c r="E353" s="50" t="s">
        <v>96</v>
      </c>
      <c r="F353" s="50" t="s">
        <v>1335</v>
      </c>
      <c r="G353" s="52" t="s">
        <v>1332</v>
      </c>
      <c r="H353" s="50" t="n">
        <v>120</v>
      </c>
      <c r="I353" s="50"/>
      <c r="K353" s="50"/>
    </row>
    <row r="354" customFormat="false" ht="15" hidden="false" customHeight="false" outlineLevel="0" collapsed="false">
      <c r="A354" s="50" t="s">
        <v>1336</v>
      </c>
      <c r="B354" s="50" t="s">
        <v>1337</v>
      </c>
      <c r="C354" s="50" t="s">
        <v>95</v>
      </c>
      <c r="D354" s="50" t="n">
        <v>2</v>
      </c>
      <c r="E354" s="50" t="s">
        <v>96</v>
      </c>
      <c r="F354" s="50" t="s">
        <v>1338</v>
      </c>
      <c r="G354" s="52" t="s">
        <v>272</v>
      </c>
      <c r="H354" s="50" t="n">
        <v>63</v>
      </c>
      <c r="I354" s="50"/>
      <c r="K354" s="50"/>
    </row>
    <row r="355" customFormat="false" ht="15" hidden="false" customHeight="false" outlineLevel="0" collapsed="false">
      <c r="A355" s="50" t="s">
        <v>1339</v>
      </c>
      <c r="B355" s="50" t="s">
        <v>1340</v>
      </c>
      <c r="C355" s="50" t="s">
        <v>95</v>
      </c>
      <c r="D355" s="50" t="n">
        <v>2</v>
      </c>
      <c r="E355" s="50" t="s">
        <v>96</v>
      </c>
      <c r="F355" s="50" t="s">
        <v>1341</v>
      </c>
      <c r="G355" s="52" t="s">
        <v>1342</v>
      </c>
      <c r="H355" s="50" t="n">
        <v>0</v>
      </c>
      <c r="I355" s="50"/>
      <c r="K355" s="50"/>
    </row>
    <row r="356" customFormat="false" ht="15" hidden="false" customHeight="false" outlineLevel="0" collapsed="false">
      <c r="A356" s="50" t="s">
        <v>1343</v>
      </c>
      <c r="B356" s="50" t="s">
        <v>1344</v>
      </c>
      <c r="C356" s="50" t="s">
        <v>95</v>
      </c>
      <c r="D356" s="50" t="n">
        <v>2</v>
      </c>
      <c r="E356" s="50" t="s">
        <v>96</v>
      </c>
      <c r="F356" s="50" t="s">
        <v>1345</v>
      </c>
      <c r="G356" s="52" t="s">
        <v>1346</v>
      </c>
      <c r="H356" s="50" t="n">
        <v>0</v>
      </c>
      <c r="I356" s="50"/>
      <c r="K356" s="50"/>
    </row>
    <row r="357" customFormat="false" ht="15" hidden="false" customHeight="false" outlineLevel="0" collapsed="false">
      <c r="A357" s="50" t="s">
        <v>1347</v>
      </c>
      <c r="B357" s="50" t="s">
        <v>1348</v>
      </c>
      <c r="C357" s="50" t="s">
        <v>95</v>
      </c>
      <c r="D357" s="50" t="n">
        <v>2</v>
      </c>
      <c r="E357" s="50" t="s">
        <v>96</v>
      </c>
      <c r="F357" s="50" t="s">
        <v>1349</v>
      </c>
      <c r="G357" s="52" t="s">
        <v>1350</v>
      </c>
      <c r="H357" s="50" t="n">
        <v>0</v>
      </c>
      <c r="I357" s="50"/>
      <c r="K357" s="50"/>
    </row>
    <row r="358" customFormat="false" ht="15" hidden="false" customHeight="false" outlineLevel="0" collapsed="false">
      <c r="A358" s="50" t="s">
        <v>1351</v>
      </c>
      <c r="B358" s="50" t="s">
        <v>1352</v>
      </c>
      <c r="C358" s="50" t="s">
        <v>95</v>
      </c>
      <c r="D358" s="50" t="n">
        <v>2</v>
      </c>
      <c r="E358" s="50" t="s">
        <v>96</v>
      </c>
      <c r="F358" s="50" t="s">
        <v>1353</v>
      </c>
      <c r="G358" s="52" t="s">
        <v>1354</v>
      </c>
      <c r="H358" s="50" t="n">
        <v>48</v>
      </c>
      <c r="I358" s="50"/>
      <c r="K358" s="50"/>
    </row>
    <row r="359" customFormat="false" ht="15" hidden="false" customHeight="false" outlineLevel="0" collapsed="false">
      <c r="A359" s="50" t="s">
        <v>1355</v>
      </c>
      <c r="B359" s="50" t="s">
        <v>1356</v>
      </c>
      <c r="C359" s="50" t="s">
        <v>95</v>
      </c>
      <c r="D359" s="50" t="n">
        <v>2</v>
      </c>
      <c r="E359" s="50" t="s">
        <v>96</v>
      </c>
      <c r="F359" s="50" t="s">
        <v>1357</v>
      </c>
      <c r="G359" s="52" t="s">
        <v>476</v>
      </c>
      <c r="H359" s="50" t="n">
        <v>14</v>
      </c>
      <c r="I359" s="50"/>
      <c r="K359" s="50"/>
    </row>
    <row r="360" customFormat="false" ht="25.5" hidden="false" customHeight="false" outlineLevel="0" collapsed="false">
      <c r="A360" s="50" t="s">
        <v>1358</v>
      </c>
      <c r="B360" s="50" t="s">
        <v>1359</v>
      </c>
      <c r="C360" s="50" t="s">
        <v>95</v>
      </c>
      <c r="D360" s="50" t="n">
        <v>2</v>
      </c>
      <c r="E360" s="50" t="s">
        <v>96</v>
      </c>
      <c r="F360" s="50" t="s">
        <v>1360</v>
      </c>
      <c r="G360" s="52" t="s">
        <v>1361</v>
      </c>
      <c r="H360" s="50" t="n">
        <v>40</v>
      </c>
      <c r="I360" s="50"/>
      <c r="K360" s="50"/>
    </row>
    <row r="361" customFormat="false" ht="15" hidden="false" customHeight="false" outlineLevel="0" collapsed="false">
      <c r="A361" s="50" t="s">
        <v>1362</v>
      </c>
      <c r="B361" s="50" t="s">
        <v>1363</v>
      </c>
      <c r="C361" s="50" t="s">
        <v>95</v>
      </c>
      <c r="D361" s="50" t="n">
        <v>2</v>
      </c>
      <c r="E361" s="50" t="s">
        <v>96</v>
      </c>
      <c r="F361" s="50" t="s">
        <v>1364</v>
      </c>
      <c r="G361" s="52" t="s">
        <v>1365</v>
      </c>
      <c r="H361" s="50" t="n">
        <v>12</v>
      </c>
      <c r="I361" s="50"/>
      <c r="K361" s="50"/>
    </row>
    <row r="362" customFormat="false" ht="15" hidden="false" customHeight="false" outlineLevel="0" collapsed="false">
      <c r="A362" s="50" t="s">
        <v>1366</v>
      </c>
      <c r="B362" s="50" t="s">
        <v>1367</v>
      </c>
      <c r="C362" s="50" t="s">
        <v>95</v>
      </c>
      <c r="D362" s="50" t="n">
        <v>2</v>
      </c>
      <c r="E362" s="50" t="s">
        <v>96</v>
      </c>
      <c r="F362" s="50" t="s">
        <v>1368</v>
      </c>
      <c r="G362" s="52" t="s">
        <v>1369</v>
      </c>
      <c r="H362" s="50" t="n">
        <v>0</v>
      </c>
      <c r="I362" s="50"/>
      <c r="K362" s="50"/>
    </row>
    <row r="363" customFormat="false" ht="15" hidden="false" customHeight="false" outlineLevel="0" collapsed="false">
      <c r="A363" s="50" t="s">
        <v>1370</v>
      </c>
      <c r="B363" s="50" t="s">
        <v>1371</v>
      </c>
      <c r="C363" s="50" t="s">
        <v>95</v>
      </c>
      <c r="D363" s="50" t="n">
        <v>10</v>
      </c>
      <c r="E363" s="50" t="s">
        <v>113</v>
      </c>
      <c r="F363" s="50" t="s">
        <v>1372</v>
      </c>
      <c r="G363" s="52" t="s">
        <v>366</v>
      </c>
      <c r="H363" s="50" t="n">
        <v>25</v>
      </c>
      <c r="I363" s="50"/>
      <c r="K363" s="50"/>
    </row>
    <row r="364" customFormat="false" ht="15" hidden="false" customHeight="false" outlineLevel="0" collapsed="false">
      <c r="A364" s="50" t="s">
        <v>1373</v>
      </c>
      <c r="B364" s="50" t="s">
        <v>1374</v>
      </c>
      <c r="C364" s="50" t="s">
        <v>95</v>
      </c>
      <c r="D364" s="50" t="n">
        <v>10</v>
      </c>
      <c r="E364" s="50" t="s">
        <v>113</v>
      </c>
      <c r="F364" s="50" t="s">
        <v>1375</v>
      </c>
      <c r="G364" s="52" t="s">
        <v>366</v>
      </c>
      <c r="H364" s="50" t="n">
        <v>25</v>
      </c>
      <c r="I364" s="50"/>
      <c r="K364" s="50"/>
    </row>
    <row r="365" customFormat="false" ht="15" hidden="false" customHeight="false" outlineLevel="0" collapsed="false">
      <c r="A365" s="50" t="s">
        <v>1376</v>
      </c>
      <c r="B365" s="50" t="s">
        <v>1377</v>
      </c>
      <c r="C365" s="50" t="s">
        <v>95</v>
      </c>
      <c r="D365" s="50" t="n">
        <v>10</v>
      </c>
      <c r="E365" s="50" t="s">
        <v>113</v>
      </c>
      <c r="F365" s="50" t="s">
        <v>1378</v>
      </c>
      <c r="G365" s="52" t="s">
        <v>366</v>
      </c>
      <c r="H365" s="50" t="n">
        <v>25</v>
      </c>
      <c r="I365" s="50"/>
      <c r="K365" s="50"/>
    </row>
    <row r="366" customFormat="false" ht="15" hidden="false" customHeight="false" outlineLevel="0" collapsed="false">
      <c r="A366" s="50" t="s">
        <v>1379</v>
      </c>
      <c r="B366" s="50" t="s">
        <v>1380</v>
      </c>
      <c r="C366" s="50" t="s">
        <v>95</v>
      </c>
      <c r="D366" s="50" t="n">
        <v>10</v>
      </c>
      <c r="E366" s="50" t="s">
        <v>113</v>
      </c>
      <c r="F366" s="50" t="s">
        <v>1381</v>
      </c>
      <c r="G366" s="52" t="s">
        <v>366</v>
      </c>
      <c r="H366" s="50" t="n">
        <v>25</v>
      </c>
      <c r="I366" s="50"/>
      <c r="K366" s="50"/>
    </row>
    <row r="367" customFormat="false" ht="15" hidden="false" customHeight="false" outlineLevel="0" collapsed="false">
      <c r="A367" s="50" t="s">
        <v>1382</v>
      </c>
      <c r="B367" s="50" t="s">
        <v>1383</v>
      </c>
      <c r="C367" s="50" t="s">
        <v>95</v>
      </c>
      <c r="D367" s="50" t="n">
        <v>2</v>
      </c>
      <c r="E367" s="50" t="s">
        <v>96</v>
      </c>
      <c r="F367" s="50" t="s">
        <v>1384</v>
      </c>
      <c r="G367" s="52" t="s">
        <v>366</v>
      </c>
      <c r="H367" s="50" t="n">
        <v>25</v>
      </c>
      <c r="I367" s="50"/>
      <c r="K367" s="50"/>
    </row>
    <row r="368" customFormat="false" ht="15" hidden="false" customHeight="false" outlineLevel="0" collapsed="false">
      <c r="A368" s="50" t="s">
        <v>1385</v>
      </c>
      <c r="B368" s="50" t="s">
        <v>1386</v>
      </c>
      <c r="C368" s="50" t="s">
        <v>95</v>
      </c>
      <c r="D368" s="50" t="n">
        <v>10</v>
      </c>
      <c r="E368" s="50" t="s">
        <v>113</v>
      </c>
      <c r="F368" s="50" t="s">
        <v>1387</v>
      </c>
      <c r="G368" s="52" t="s">
        <v>366</v>
      </c>
      <c r="H368" s="50" t="n">
        <v>25</v>
      </c>
      <c r="I368" s="50"/>
      <c r="K368" s="50"/>
    </row>
    <row r="369" customFormat="false" ht="15" hidden="false" customHeight="false" outlineLevel="0" collapsed="false">
      <c r="A369" s="50" t="s">
        <v>1388</v>
      </c>
      <c r="B369" s="50" t="s">
        <v>1389</v>
      </c>
      <c r="C369" s="50" t="s">
        <v>95</v>
      </c>
      <c r="D369" s="50" t="n">
        <v>2</v>
      </c>
      <c r="E369" s="50" t="s">
        <v>96</v>
      </c>
      <c r="F369" s="50" t="s">
        <v>1390</v>
      </c>
      <c r="G369" s="52" t="s">
        <v>366</v>
      </c>
      <c r="H369" s="50" t="n">
        <v>25</v>
      </c>
      <c r="I369" s="50"/>
      <c r="K369" s="50"/>
    </row>
    <row r="370" customFormat="false" ht="15" hidden="false" customHeight="false" outlineLevel="0" collapsed="false">
      <c r="A370" s="50" t="s">
        <v>1391</v>
      </c>
      <c r="B370" s="50" t="s">
        <v>1392</v>
      </c>
      <c r="C370" s="50" t="s">
        <v>95</v>
      </c>
      <c r="D370" s="50" t="n">
        <v>10</v>
      </c>
      <c r="E370" s="50" t="s">
        <v>113</v>
      </c>
      <c r="F370" s="50" t="s">
        <v>1393</v>
      </c>
      <c r="G370" s="52" t="s">
        <v>366</v>
      </c>
      <c r="H370" s="50" t="n">
        <v>25</v>
      </c>
      <c r="I370" s="50"/>
      <c r="K370" s="50"/>
    </row>
    <row r="371" customFormat="false" ht="15" hidden="false" customHeight="false" outlineLevel="0" collapsed="false">
      <c r="A371" s="50" t="s">
        <v>1394</v>
      </c>
      <c r="B371" s="50" t="s">
        <v>1395</v>
      </c>
      <c r="C371" s="50" t="s">
        <v>95</v>
      </c>
      <c r="D371" s="50" t="n">
        <v>2</v>
      </c>
      <c r="E371" s="50" t="s">
        <v>96</v>
      </c>
      <c r="F371" s="50" t="s">
        <v>1396</v>
      </c>
      <c r="G371" s="52" t="s">
        <v>366</v>
      </c>
      <c r="H371" s="50" t="n">
        <v>25</v>
      </c>
      <c r="I371" s="50"/>
      <c r="K371" s="50"/>
    </row>
    <row r="372" customFormat="false" ht="15" hidden="false" customHeight="false" outlineLevel="0" collapsed="false">
      <c r="A372" s="50" t="s">
        <v>1397</v>
      </c>
      <c r="B372" s="50" t="s">
        <v>1398</v>
      </c>
      <c r="C372" s="50" t="s">
        <v>95</v>
      </c>
      <c r="D372" s="50" t="n">
        <v>10</v>
      </c>
      <c r="E372" s="50" t="s">
        <v>113</v>
      </c>
      <c r="F372" s="50" t="s">
        <v>1399</v>
      </c>
      <c r="G372" s="52" t="s">
        <v>366</v>
      </c>
      <c r="H372" s="50" t="n">
        <v>25</v>
      </c>
      <c r="I372" s="50"/>
      <c r="K372" s="50"/>
    </row>
    <row r="373" customFormat="false" ht="15" hidden="false" customHeight="false" outlineLevel="0" collapsed="false">
      <c r="A373" s="50" t="s">
        <v>1400</v>
      </c>
      <c r="B373" s="50" t="s">
        <v>1401</v>
      </c>
      <c r="C373" s="50" t="s">
        <v>95</v>
      </c>
      <c r="D373" s="50" t="n">
        <v>2</v>
      </c>
      <c r="E373" s="50" t="s">
        <v>96</v>
      </c>
      <c r="F373" s="50" t="s">
        <v>1402</v>
      </c>
      <c r="G373" s="52" t="s">
        <v>1403</v>
      </c>
      <c r="H373" s="50" t="n">
        <v>25</v>
      </c>
      <c r="I373" s="50"/>
      <c r="K373" s="50"/>
    </row>
    <row r="374" customFormat="false" ht="15" hidden="false" customHeight="false" outlineLevel="0" collapsed="false">
      <c r="A374" s="50" t="s">
        <v>1404</v>
      </c>
      <c r="B374" s="50" t="s">
        <v>1405</v>
      </c>
      <c r="C374" s="50" t="s">
        <v>95</v>
      </c>
      <c r="D374" s="50" t="n">
        <v>2</v>
      </c>
      <c r="E374" s="50" t="s">
        <v>96</v>
      </c>
      <c r="F374" s="50" t="s">
        <v>1406</v>
      </c>
      <c r="G374" s="52" t="s">
        <v>1407</v>
      </c>
      <c r="H374" s="50" t="n">
        <v>15</v>
      </c>
      <c r="I374" s="50"/>
      <c r="K374" s="50"/>
    </row>
    <row r="375" customFormat="false" ht="15" hidden="false" customHeight="false" outlineLevel="0" collapsed="false">
      <c r="A375" s="50" t="s">
        <v>1408</v>
      </c>
      <c r="B375" s="50" t="s">
        <v>1409</v>
      </c>
      <c r="C375" s="50" t="s">
        <v>95</v>
      </c>
      <c r="D375" s="50" t="n">
        <v>2</v>
      </c>
      <c r="E375" s="50" t="s">
        <v>96</v>
      </c>
      <c r="F375" s="50" t="s">
        <v>1410</v>
      </c>
      <c r="G375" s="52" t="s">
        <v>888</v>
      </c>
      <c r="H375" s="50" t="n">
        <v>25</v>
      </c>
      <c r="I375" s="50"/>
      <c r="K375" s="50"/>
    </row>
    <row r="376" customFormat="false" ht="15" hidden="false" customHeight="false" outlineLevel="0" collapsed="false">
      <c r="A376" s="50" t="s">
        <v>1411</v>
      </c>
      <c r="B376" s="50" t="s">
        <v>1412</v>
      </c>
      <c r="C376" s="50" t="s">
        <v>95</v>
      </c>
      <c r="D376" s="50" t="n">
        <v>2</v>
      </c>
      <c r="E376" s="50" t="s">
        <v>96</v>
      </c>
      <c r="F376" s="50" t="s">
        <v>1413</v>
      </c>
      <c r="G376" s="52" t="s">
        <v>1414</v>
      </c>
      <c r="H376" s="50" t="n">
        <v>40</v>
      </c>
      <c r="I376" s="50"/>
      <c r="K376" s="50"/>
    </row>
    <row r="377" customFormat="false" ht="15" hidden="false" customHeight="false" outlineLevel="0" collapsed="false">
      <c r="A377" s="50" t="s">
        <v>1415</v>
      </c>
      <c r="B377" s="50" t="s">
        <v>1416</v>
      </c>
      <c r="C377" s="50" t="s">
        <v>95</v>
      </c>
      <c r="D377" s="50" t="n">
        <v>20</v>
      </c>
      <c r="E377" s="50" t="s">
        <v>113</v>
      </c>
      <c r="F377" s="50" t="s">
        <v>1417</v>
      </c>
      <c r="G377" s="52" t="s">
        <v>1414</v>
      </c>
      <c r="H377" s="50" t="n">
        <v>40</v>
      </c>
      <c r="I377" s="50"/>
      <c r="K377" s="50"/>
    </row>
    <row r="378" customFormat="false" ht="15" hidden="false" customHeight="false" outlineLevel="0" collapsed="false">
      <c r="A378" s="50" t="s">
        <v>1418</v>
      </c>
      <c r="B378" s="50" t="s">
        <v>1419</v>
      </c>
      <c r="C378" s="50" t="s">
        <v>95</v>
      </c>
      <c r="D378" s="50" t="n">
        <v>20</v>
      </c>
      <c r="E378" s="50" t="s">
        <v>113</v>
      </c>
      <c r="F378" s="50" t="s">
        <v>1420</v>
      </c>
      <c r="G378" s="52" t="s">
        <v>1414</v>
      </c>
      <c r="H378" s="50" t="n">
        <v>40</v>
      </c>
      <c r="I378" s="50"/>
      <c r="K378" s="50"/>
    </row>
    <row r="379" customFormat="false" ht="15" hidden="false" customHeight="false" outlineLevel="0" collapsed="false">
      <c r="A379" s="50" t="s">
        <v>1421</v>
      </c>
      <c r="B379" s="50" t="s">
        <v>1422</v>
      </c>
      <c r="C379" s="50" t="s">
        <v>95</v>
      </c>
      <c r="D379" s="50" t="n">
        <v>2</v>
      </c>
      <c r="E379" s="50" t="s">
        <v>96</v>
      </c>
      <c r="F379" s="50" t="s">
        <v>1423</v>
      </c>
      <c r="G379" s="52" t="s">
        <v>1424</v>
      </c>
      <c r="H379" s="50" t="n">
        <v>20</v>
      </c>
      <c r="I379" s="50"/>
      <c r="K379" s="50"/>
    </row>
    <row r="380" customFormat="false" ht="15" hidden="false" customHeight="false" outlineLevel="0" collapsed="false">
      <c r="A380" s="50" t="s">
        <v>1425</v>
      </c>
      <c r="B380" s="50" t="s">
        <v>1426</v>
      </c>
      <c r="C380" s="50" t="s">
        <v>95</v>
      </c>
      <c r="D380" s="50" t="n">
        <v>2</v>
      </c>
      <c r="E380" s="50" t="s">
        <v>96</v>
      </c>
      <c r="F380" s="50" t="s">
        <v>1427</v>
      </c>
      <c r="G380" s="52" t="s">
        <v>1424</v>
      </c>
      <c r="H380" s="50" t="n">
        <v>20</v>
      </c>
      <c r="I380" s="50"/>
      <c r="K380" s="50"/>
    </row>
    <row r="381" customFormat="false" ht="15" hidden="false" customHeight="false" outlineLevel="0" collapsed="false">
      <c r="A381" s="50" t="s">
        <v>1428</v>
      </c>
      <c r="B381" s="50" t="s">
        <v>1429</v>
      </c>
      <c r="C381" s="50" t="s">
        <v>95</v>
      </c>
      <c r="D381" s="50" t="n">
        <v>2</v>
      </c>
      <c r="E381" s="50" t="s">
        <v>96</v>
      </c>
      <c r="F381" s="50" t="s">
        <v>1430</v>
      </c>
      <c r="G381" s="52" t="s">
        <v>1431</v>
      </c>
      <c r="H381" s="50" t="n">
        <v>20</v>
      </c>
      <c r="I381" s="50"/>
      <c r="K381" s="50"/>
    </row>
    <row r="382" customFormat="false" ht="15" hidden="false" customHeight="false" outlineLevel="0" collapsed="false">
      <c r="A382" s="50" t="s">
        <v>1432</v>
      </c>
      <c r="B382" s="50" t="s">
        <v>1433</v>
      </c>
      <c r="C382" s="50" t="s">
        <v>95</v>
      </c>
      <c r="D382" s="50" t="n">
        <v>2</v>
      </c>
      <c r="E382" s="50" t="s">
        <v>96</v>
      </c>
      <c r="F382" s="50" t="s">
        <v>1434</v>
      </c>
      <c r="G382" s="52" t="s">
        <v>1435</v>
      </c>
      <c r="H382" s="50" t="n">
        <v>20</v>
      </c>
      <c r="I382" s="50"/>
      <c r="K382" s="50"/>
    </row>
    <row r="383" customFormat="false" ht="15" hidden="false" customHeight="false" outlineLevel="0" collapsed="false">
      <c r="A383" s="50" t="s">
        <v>1436</v>
      </c>
      <c r="B383" s="50" t="s">
        <v>1437</v>
      </c>
      <c r="C383" s="50" t="s">
        <v>95</v>
      </c>
      <c r="D383" s="50" t="n">
        <v>2</v>
      </c>
      <c r="E383" s="50" t="s">
        <v>96</v>
      </c>
      <c r="F383" s="50" t="s">
        <v>1438</v>
      </c>
      <c r="G383" s="52" t="s">
        <v>1439</v>
      </c>
      <c r="H383" s="50" t="n">
        <v>20</v>
      </c>
      <c r="I383" s="50"/>
      <c r="K383" s="50"/>
    </row>
    <row r="384" customFormat="false" ht="15" hidden="false" customHeight="false" outlineLevel="0" collapsed="false">
      <c r="A384" s="50" t="s">
        <v>72</v>
      </c>
      <c r="B384" s="50" t="s">
        <v>1440</v>
      </c>
      <c r="C384" s="50" t="s">
        <v>95</v>
      </c>
      <c r="D384" s="50" t="n">
        <v>2</v>
      </c>
      <c r="E384" s="50" t="s">
        <v>96</v>
      </c>
      <c r="F384" s="50" t="s">
        <v>1441</v>
      </c>
      <c r="G384" s="52" t="s">
        <v>1442</v>
      </c>
      <c r="H384" s="50" t="n">
        <v>20</v>
      </c>
      <c r="I384" s="50"/>
      <c r="K384" s="50"/>
    </row>
    <row r="385" customFormat="false" ht="15" hidden="false" customHeight="false" outlineLevel="0" collapsed="false">
      <c r="A385" s="50" t="s">
        <v>1443</v>
      </c>
      <c r="B385" s="50" t="s">
        <v>1444</v>
      </c>
      <c r="C385" s="50" t="s">
        <v>95</v>
      </c>
      <c r="D385" s="50" t="n">
        <v>2</v>
      </c>
      <c r="E385" s="50" t="s">
        <v>96</v>
      </c>
      <c r="F385" s="50" t="s">
        <v>1445</v>
      </c>
      <c r="G385" s="52" t="s">
        <v>1446</v>
      </c>
      <c r="H385" s="50" t="n">
        <v>10</v>
      </c>
      <c r="I385" s="50"/>
      <c r="K385" s="50"/>
    </row>
    <row r="386" customFormat="false" ht="15" hidden="false" customHeight="false" outlineLevel="0" collapsed="false">
      <c r="A386" s="50" t="s">
        <v>1447</v>
      </c>
      <c r="B386" s="50" t="s">
        <v>1448</v>
      </c>
      <c r="C386" s="50" t="s">
        <v>95</v>
      </c>
      <c r="D386" s="50" t="n">
        <v>2</v>
      </c>
      <c r="E386" s="50" t="s">
        <v>96</v>
      </c>
      <c r="F386" s="50" t="s">
        <v>1449</v>
      </c>
      <c r="G386" s="52" t="s">
        <v>1450</v>
      </c>
      <c r="H386" s="50" t="n">
        <v>10</v>
      </c>
      <c r="I386" s="50"/>
      <c r="K386" s="50"/>
    </row>
    <row r="387" customFormat="false" ht="15" hidden="false" customHeight="false" outlineLevel="0" collapsed="false">
      <c r="A387" s="50" t="s">
        <v>1451</v>
      </c>
      <c r="B387" s="50" t="s">
        <v>1452</v>
      </c>
      <c r="C387" s="50" t="s">
        <v>95</v>
      </c>
      <c r="D387" s="50" t="n">
        <v>2</v>
      </c>
      <c r="E387" s="50" t="s">
        <v>96</v>
      </c>
      <c r="F387" s="50" t="s">
        <v>1453</v>
      </c>
      <c r="G387" s="52" t="s">
        <v>1454</v>
      </c>
      <c r="H387" s="50" t="n">
        <v>33</v>
      </c>
      <c r="I387" s="50"/>
      <c r="K387" s="50"/>
    </row>
    <row r="388" customFormat="false" ht="25.5" hidden="false" customHeight="false" outlineLevel="0" collapsed="false">
      <c r="A388" s="50" t="s">
        <v>1455</v>
      </c>
      <c r="B388" s="50" t="s">
        <v>1456</v>
      </c>
      <c r="C388" s="50" t="s">
        <v>95</v>
      </c>
      <c r="D388" s="50" t="n">
        <v>2</v>
      </c>
      <c r="E388" s="50" t="s">
        <v>96</v>
      </c>
      <c r="F388" s="50" t="s">
        <v>1457</v>
      </c>
      <c r="G388" s="52" t="s">
        <v>1458</v>
      </c>
      <c r="H388" s="50" t="n">
        <v>10</v>
      </c>
      <c r="I388" s="50"/>
      <c r="K388" s="50"/>
    </row>
    <row r="389" customFormat="false" ht="25.5" hidden="false" customHeight="false" outlineLevel="0" collapsed="false">
      <c r="A389" s="50" t="s">
        <v>1459</v>
      </c>
      <c r="B389" s="50" t="s">
        <v>1460</v>
      </c>
      <c r="C389" s="50" t="s">
        <v>95</v>
      </c>
      <c r="D389" s="50" t="n">
        <v>2</v>
      </c>
      <c r="E389" s="50" t="s">
        <v>96</v>
      </c>
      <c r="F389" s="50" t="s">
        <v>1461</v>
      </c>
      <c r="G389" s="52" t="s">
        <v>1462</v>
      </c>
      <c r="H389" s="50" t="n">
        <v>10</v>
      </c>
      <c r="I389" s="50"/>
      <c r="K389" s="50"/>
    </row>
    <row r="390" customFormat="false" ht="25.5" hidden="false" customHeight="false" outlineLevel="0" collapsed="false">
      <c r="A390" s="50" t="s">
        <v>1463</v>
      </c>
      <c r="B390" s="50" t="s">
        <v>1464</v>
      </c>
      <c r="C390" s="50" t="s">
        <v>95</v>
      </c>
      <c r="D390" s="50" t="n">
        <v>2</v>
      </c>
      <c r="E390" s="50" t="s">
        <v>96</v>
      </c>
      <c r="F390" s="50" t="s">
        <v>1465</v>
      </c>
      <c r="G390" s="52" t="s">
        <v>1466</v>
      </c>
      <c r="H390" s="50" t="n">
        <v>10</v>
      </c>
      <c r="I390" s="50"/>
      <c r="K390" s="50"/>
    </row>
    <row r="391" customFormat="false" ht="25.5" hidden="false" customHeight="false" outlineLevel="0" collapsed="false">
      <c r="A391" s="50" t="s">
        <v>1467</v>
      </c>
      <c r="B391" s="50" t="s">
        <v>1468</v>
      </c>
      <c r="C391" s="50" t="s">
        <v>95</v>
      </c>
      <c r="D391" s="50" t="n">
        <v>2</v>
      </c>
      <c r="E391" s="50" t="s">
        <v>96</v>
      </c>
      <c r="F391" s="50" t="s">
        <v>1469</v>
      </c>
      <c r="G391" s="52" t="s">
        <v>1470</v>
      </c>
      <c r="H391" s="50" t="n">
        <v>10</v>
      </c>
      <c r="I391" s="50"/>
      <c r="K391" s="50"/>
    </row>
    <row r="392" customFormat="false" ht="15" hidden="false" customHeight="false" outlineLevel="0" collapsed="false">
      <c r="A392" s="50" t="s">
        <v>1471</v>
      </c>
      <c r="B392" s="50" t="s">
        <v>1472</v>
      </c>
      <c r="C392" s="50" t="s">
        <v>95</v>
      </c>
      <c r="D392" s="50" t="n">
        <v>2</v>
      </c>
      <c r="E392" s="50" t="s">
        <v>96</v>
      </c>
      <c r="F392" s="50" t="s">
        <v>1473</v>
      </c>
      <c r="G392" s="52" t="s">
        <v>1474</v>
      </c>
      <c r="H392" s="50" t="n">
        <v>25</v>
      </c>
      <c r="I392" s="50"/>
      <c r="K392" s="50"/>
    </row>
    <row r="393" customFormat="false" ht="15" hidden="false" customHeight="false" outlineLevel="0" collapsed="false">
      <c r="A393" s="50" t="s">
        <v>1475</v>
      </c>
      <c r="B393" s="50" t="s">
        <v>1476</v>
      </c>
      <c r="C393" s="50" t="s">
        <v>95</v>
      </c>
      <c r="D393" s="50" t="n">
        <v>2</v>
      </c>
      <c r="E393" s="50" t="s">
        <v>96</v>
      </c>
      <c r="F393" s="50" t="s">
        <v>1477</v>
      </c>
      <c r="G393" s="52" t="s">
        <v>1478</v>
      </c>
      <c r="H393" s="50" t="n">
        <v>18</v>
      </c>
      <c r="I393" s="50"/>
      <c r="K393" s="50"/>
    </row>
    <row r="394" customFormat="false" ht="15" hidden="false" customHeight="false" outlineLevel="0" collapsed="false">
      <c r="A394" s="50" t="s">
        <v>1479</v>
      </c>
      <c r="B394" s="50" t="s">
        <v>1480</v>
      </c>
      <c r="C394" s="50" t="s">
        <v>95</v>
      </c>
      <c r="D394" s="50" t="n">
        <v>2</v>
      </c>
      <c r="E394" s="50" t="s">
        <v>96</v>
      </c>
      <c r="F394" s="50" t="s">
        <v>1481</v>
      </c>
      <c r="G394" s="52" t="s">
        <v>1478</v>
      </c>
      <c r="H394" s="50" t="n">
        <v>28</v>
      </c>
      <c r="I394" s="50"/>
      <c r="K394" s="50"/>
    </row>
    <row r="395" customFormat="false" ht="15" hidden="false" customHeight="false" outlineLevel="0" collapsed="false">
      <c r="A395" s="50" t="s">
        <v>1482</v>
      </c>
      <c r="B395" s="50" t="s">
        <v>1483</v>
      </c>
      <c r="C395" s="50" t="s">
        <v>95</v>
      </c>
      <c r="D395" s="50" t="n">
        <v>2</v>
      </c>
      <c r="E395" s="50" t="s">
        <v>96</v>
      </c>
      <c r="F395" s="50" t="s">
        <v>1484</v>
      </c>
      <c r="G395" s="52" t="s">
        <v>1311</v>
      </c>
      <c r="H395" s="50" t="n">
        <v>0</v>
      </c>
      <c r="I395" s="50"/>
      <c r="K395" s="50"/>
    </row>
    <row r="396" customFormat="false" ht="15" hidden="false" customHeight="false" outlineLevel="0" collapsed="false">
      <c r="A396" s="50" t="s">
        <v>1485</v>
      </c>
      <c r="B396" s="50" t="s">
        <v>1486</v>
      </c>
      <c r="C396" s="50" t="s">
        <v>95</v>
      </c>
      <c r="D396" s="50" t="n">
        <v>2</v>
      </c>
      <c r="E396" s="50" t="s">
        <v>96</v>
      </c>
      <c r="F396" s="50" t="s">
        <v>1487</v>
      </c>
      <c r="G396" s="52" t="s">
        <v>1488</v>
      </c>
      <c r="H396" s="50" t="n">
        <v>0</v>
      </c>
      <c r="I396" s="50"/>
      <c r="K396" s="50"/>
    </row>
    <row r="397" customFormat="false" ht="15" hidden="false" customHeight="false" outlineLevel="0" collapsed="false">
      <c r="A397" s="50" t="s">
        <v>1489</v>
      </c>
      <c r="B397" s="50" t="s">
        <v>1490</v>
      </c>
      <c r="C397" s="50" t="s">
        <v>95</v>
      </c>
      <c r="D397" s="50" t="n">
        <v>2</v>
      </c>
      <c r="E397" s="50" t="s">
        <v>96</v>
      </c>
      <c r="F397" s="50" t="s">
        <v>1491</v>
      </c>
      <c r="G397" s="52" t="s">
        <v>1492</v>
      </c>
      <c r="H397" s="50" t="n">
        <v>120</v>
      </c>
      <c r="I397" s="50"/>
      <c r="K397" s="50"/>
    </row>
    <row r="398" customFormat="false" ht="25.5" hidden="false" customHeight="false" outlineLevel="0" collapsed="false">
      <c r="A398" s="50" t="s">
        <v>1493</v>
      </c>
      <c r="B398" s="50" t="s">
        <v>1494</v>
      </c>
      <c r="C398" s="50" t="s">
        <v>95</v>
      </c>
      <c r="D398" s="50" t="n">
        <v>2</v>
      </c>
      <c r="E398" s="50" t="s">
        <v>96</v>
      </c>
      <c r="F398" s="50" t="s">
        <v>1495</v>
      </c>
      <c r="G398" s="52" t="s">
        <v>1496</v>
      </c>
      <c r="H398" s="50" t="n">
        <v>500</v>
      </c>
      <c r="I398" s="50"/>
      <c r="K398" s="50"/>
    </row>
    <row r="399" customFormat="false" ht="25.5" hidden="false" customHeight="false" outlineLevel="0" collapsed="false">
      <c r="A399" s="50" t="s">
        <v>1497</v>
      </c>
      <c r="B399" s="50" t="s">
        <v>1498</v>
      </c>
      <c r="C399" s="50" t="s">
        <v>95</v>
      </c>
      <c r="D399" s="50" t="n">
        <v>2</v>
      </c>
      <c r="E399" s="50" t="s">
        <v>96</v>
      </c>
      <c r="F399" s="50" t="s">
        <v>1499</v>
      </c>
      <c r="G399" s="52" t="s">
        <v>1500</v>
      </c>
      <c r="H399" s="50" t="n">
        <v>10</v>
      </c>
      <c r="I399" s="50"/>
      <c r="K399" s="50"/>
    </row>
    <row r="400" customFormat="false" ht="15" hidden="false" customHeight="false" outlineLevel="0" collapsed="false">
      <c r="A400" s="50" t="s">
        <v>1501</v>
      </c>
      <c r="B400" s="50" t="s">
        <v>1502</v>
      </c>
      <c r="C400" s="50" t="s">
        <v>95</v>
      </c>
      <c r="D400" s="50" t="n">
        <v>2</v>
      </c>
      <c r="E400" s="50" t="s">
        <v>96</v>
      </c>
      <c r="F400" s="50" t="s">
        <v>1503</v>
      </c>
      <c r="G400" s="52" t="s">
        <v>1496</v>
      </c>
      <c r="H400" s="50" t="n">
        <v>10</v>
      </c>
      <c r="I400" s="50"/>
      <c r="K400" s="50"/>
    </row>
    <row r="401" customFormat="false" ht="15" hidden="false" customHeight="false" outlineLevel="0" collapsed="false">
      <c r="A401" s="50" t="s">
        <v>1504</v>
      </c>
      <c r="B401" s="50" t="s">
        <v>1505</v>
      </c>
      <c r="C401" s="50" t="s">
        <v>95</v>
      </c>
      <c r="D401" s="50" t="n">
        <v>2</v>
      </c>
      <c r="E401" s="50" t="s">
        <v>96</v>
      </c>
      <c r="F401" s="50" t="s">
        <v>1506</v>
      </c>
      <c r="G401" s="52" t="s">
        <v>1446</v>
      </c>
      <c r="H401" s="50" t="n">
        <v>5</v>
      </c>
      <c r="I401" s="50"/>
      <c r="K401" s="50"/>
    </row>
    <row r="402" customFormat="false" ht="15" hidden="false" customHeight="false" outlineLevel="0" collapsed="false">
      <c r="A402" s="50" t="s">
        <v>1507</v>
      </c>
      <c r="B402" s="50" t="s">
        <v>1508</v>
      </c>
      <c r="C402" s="50" t="s">
        <v>95</v>
      </c>
      <c r="D402" s="50" t="n">
        <v>2</v>
      </c>
      <c r="E402" s="50" t="s">
        <v>96</v>
      </c>
      <c r="F402" s="50" t="s">
        <v>1509</v>
      </c>
      <c r="G402" s="52" t="s">
        <v>1510</v>
      </c>
      <c r="H402" s="50" t="n">
        <v>1</v>
      </c>
      <c r="I402" s="50"/>
      <c r="K402" s="50"/>
    </row>
    <row r="403" customFormat="false" ht="15" hidden="false" customHeight="false" outlineLevel="0" collapsed="false">
      <c r="A403" s="50" t="s">
        <v>1511</v>
      </c>
      <c r="B403" s="50" t="s">
        <v>1512</v>
      </c>
      <c r="C403" s="50" t="s">
        <v>95</v>
      </c>
      <c r="D403" s="50" t="n">
        <v>2</v>
      </c>
      <c r="E403" s="50" t="s">
        <v>96</v>
      </c>
      <c r="F403" s="50" t="s">
        <v>1513</v>
      </c>
      <c r="G403" s="52" t="s">
        <v>1514</v>
      </c>
      <c r="H403" s="50" t="n">
        <v>1</v>
      </c>
      <c r="I403" s="50"/>
      <c r="K403" s="50"/>
    </row>
    <row r="404" customFormat="false" ht="15" hidden="false" customHeight="false" outlineLevel="0" collapsed="false">
      <c r="A404" s="50" t="s">
        <v>1515</v>
      </c>
      <c r="B404" s="50" t="s">
        <v>1516</v>
      </c>
      <c r="C404" s="50" t="s">
        <v>95</v>
      </c>
      <c r="D404" s="50" t="n">
        <v>2</v>
      </c>
      <c r="E404" s="50" t="s">
        <v>96</v>
      </c>
      <c r="F404" s="50" t="s">
        <v>1517</v>
      </c>
      <c r="G404" s="52" t="s">
        <v>1446</v>
      </c>
      <c r="H404" s="50" t="n">
        <v>1</v>
      </c>
      <c r="I404" s="50"/>
      <c r="K404" s="50"/>
    </row>
    <row r="405" customFormat="false" ht="15" hidden="false" customHeight="false" outlineLevel="0" collapsed="false">
      <c r="A405" s="50" t="s">
        <v>1518</v>
      </c>
      <c r="B405" s="50" t="s">
        <v>1519</v>
      </c>
      <c r="C405" s="50" t="s">
        <v>95</v>
      </c>
      <c r="D405" s="50" t="n">
        <v>2</v>
      </c>
      <c r="E405" s="50" t="s">
        <v>96</v>
      </c>
      <c r="F405" s="50" t="s">
        <v>1520</v>
      </c>
      <c r="G405" s="52" t="s">
        <v>1521</v>
      </c>
      <c r="H405" s="50" t="n">
        <v>1</v>
      </c>
      <c r="I405" s="50"/>
      <c r="K405" s="50"/>
    </row>
    <row r="406" customFormat="false" ht="15" hidden="false" customHeight="false" outlineLevel="0" collapsed="false">
      <c r="A406" s="50" t="s">
        <v>1522</v>
      </c>
      <c r="B406" s="50" t="s">
        <v>1523</v>
      </c>
      <c r="C406" s="50" t="s">
        <v>95</v>
      </c>
      <c r="D406" s="50" t="n">
        <v>2</v>
      </c>
      <c r="E406" s="50" t="s">
        <v>96</v>
      </c>
      <c r="F406" s="50" t="s">
        <v>1524</v>
      </c>
      <c r="G406" s="52" t="s">
        <v>1521</v>
      </c>
      <c r="H406" s="50" t="n">
        <v>1</v>
      </c>
      <c r="I406" s="50"/>
      <c r="K406" s="50"/>
    </row>
    <row r="407" customFormat="false" ht="15" hidden="false" customHeight="false" outlineLevel="0" collapsed="false">
      <c r="A407" s="50" t="s">
        <v>1525</v>
      </c>
      <c r="B407" s="50" t="s">
        <v>1526</v>
      </c>
      <c r="C407" s="50" t="s">
        <v>95</v>
      </c>
      <c r="D407" s="50" t="n">
        <v>20</v>
      </c>
      <c r="E407" s="50" t="s">
        <v>113</v>
      </c>
      <c r="F407" s="50" t="s">
        <v>1527</v>
      </c>
      <c r="G407" s="52" t="s">
        <v>1521</v>
      </c>
      <c r="H407" s="50" t="n">
        <v>1</v>
      </c>
      <c r="I407" s="50"/>
      <c r="K407" s="50"/>
    </row>
    <row r="408" customFormat="false" ht="15" hidden="false" customHeight="false" outlineLevel="0" collapsed="false">
      <c r="A408" s="50" t="s">
        <v>1528</v>
      </c>
      <c r="B408" s="50" t="s">
        <v>1529</v>
      </c>
      <c r="C408" s="50" t="s">
        <v>95</v>
      </c>
      <c r="D408" s="50" t="n">
        <v>2</v>
      </c>
      <c r="E408" s="50" t="s">
        <v>96</v>
      </c>
      <c r="F408" s="50" t="s">
        <v>1530</v>
      </c>
      <c r="G408" s="52" t="s">
        <v>1346</v>
      </c>
      <c r="H408" s="50" t="n">
        <v>1</v>
      </c>
      <c r="I408" s="50"/>
      <c r="K408" s="50"/>
    </row>
    <row r="409" customFormat="false" ht="15" hidden="false" customHeight="false" outlineLevel="0" collapsed="false">
      <c r="A409" s="50" t="s">
        <v>1531</v>
      </c>
      <c r="B409" s="50" t="s">
        <v>1532</v>
      </c>
      <c r="C409" s="50" t="s">
        <v>95</v>
      </c>
      <c r="D409" s="50" t="n">
        <v>20</v>
      </c>
      <c r="E409" s="50" t="s">
        <v>113</v>
      </c>
      <c r="F409" s="50" t="s">
        <v>1533</v>
      </c>
      <c r="G409" s="52" t="s">
        <v>1346</v>
      </c>
      <c r="H409" s="50" t="n">
        <v>1</v>
      </c>
      <c r="I409" s="50"/>
      <c r="K409" s="50"/>
    </row>
    <row r="410" customFormat="false" ht="15" hidden="false" customHeight="false" outlineLevel="0" collapsed="false">
      <c r="A410" s="50" t="s">
        <v>1534</v>
      </c>
      <c r="B410" s="50" t="s">
        <v>1535</v>
      </c>
      <c r="C410" s="50" t="s">
        <v>95</v>
      </c>
      <c r="D410" s="50" t="n">
        <v>2</v>
      </c>
      <c r="E410" s="50" t="s">
        <v>96</v>
      </c>
      <c r="F410" s="50" t="s">
        <v>1536</v>
      </c>
      <c r="G410" s="52" t="s">
        <v>1537</v>
      </c>
      <c r="H410" s="50" t="n">
        <v>100</v>
      </c>
      <c r="I410" s="50"/>
      <c r="K410" s="50"/>
    </row>
    <row r="411" customFormat="false" ht="15" hidden="false" customHeight="false" outlineLevel="0" collapsed="false">
      <c r="A411" s="50" t="s">
        <v>1538</v>
      </c>
      <c r="B411" s="50" t="s">
        <v>1539</v>
      </c>
      <c r="C411" s="50" t="s">
        <v>95</v>
      </c>
      <c r="D411" s="50" t="n">
        <v>2</v>
      </c>
      <c r="E411" s="50" t="s">
        <v>96</v>
      </c>
      <c r="F411" s="50" t="s">
        <v>1540</v>
      </c>
      <c r="G411" s="52" t="s">
        <v>1537</v>
      </c>
      <c r="H411" s="50" t="n">
        <v>10</v>
      </c>
      <c r="I411" s="50"/>
      <c r="K411" s="50"/>
    </row>
    <row r="412" customFormat="false" ht="15" hidden="false" customHeight="false" outlineLevel="0" collapsed="false">
      <c r="A412" s="50" t="s">
        <v>1541</v>
      </c>
      <c r="B412" s="50" t="s">
        <v>1542</v>
      </c>
      <c r="C412" s="50" t="s">
        <v>95</v>
      </c>
      <c r="D412" s="50" t="n">
        <v>2</v>
      </c>
      <c r="E412" s="50" t="s">
        <v>96</v>
      </c>
      <c r="F412" s="50" t="s">
        <v>1543</v>
      </c>
      <c r="G412" s="52" t="s">
        <v>1537</v>
      </c>
      <c r="H412" s="50" t="n">
        <v>30</v>
      </c>
      <c r="I412" s="50"/>
      <c r="K412" s="50"/>
    </row>
    <row r="413" customFormat="false" ht="15" hidden="false" customHeight="false" outlineLevel="0" collapsed="false">
      <c r="A413" s="50" t="s">
        <v>1544</v>
      </c>
      <c r="B413" s="50" t="s">
        <v>1545</v>
      </c>
      <c r="C413" s="50" t="s">
        <v>95</v>
      </c>
      <c r="D413" s="50" t="n">
        <v>2</v>
      </c>
      <c r="E413" s="50" t="s">
        <v>96</v>
      </c>
      <c r="F413" s="50" t="s">
        <v>1546</v>
      </c>
      <c r="G413" s="52" t="s">
        <v>1547</v>
      </c>
      <c r="H413" s="50" t="n">
        <v>5</v>
      </c>
      <c r="I413" s="50"/>
      <c r="K413" s="50"/>
    </row>
    <row r="414" customFormat="false" ht="15" hidden="false" customHeight="false" outlineLevel="0" collapsed="false">
      <c r="A414" s="50" t="s">
        <v>1548</v>
      </c>
      <c r="B414" s="50" t="s">
        <v>1549</v>
      </c>
      <c r="C414" s="50" t="s">
        <v>95</v>
      </c>
      <c r="D414" s="50" t="n">
        <v>2</v>
      </c>
      <c r="E414" s="50" t="s">
        <v>96</v>
      </c>
      <c r="F414" s="50" t="s">
        <v>1550</v>
      </c>
      <c r="G414" s="52" t="s">
        <v>1551</v>
      </c>
      <c r="H414" s="50" t="n">
        <v>0</v>
      </c>
      <c r="I414" s="50"/>
      <c r="K414" s="50"/>
    </row>
    <row r="415" customFormat="false" ht="15" hidden="false" customHeight="false" outlineLevel="0" collapsed="false">
      <c r="A415" s="50" t="s">
        <v>1552</v>
      </c>
      <c r="B415" s="50" t="s">
        <v>1553</v>
      </c>
      <c r="C415" s="50" t="s">
        <v>95</v>
      </c>
      <c r="D415" s="50" t="n">
        <v>2</v>
      </c>
      <c r="E415" s="50" t="s">
        <v>96</v>
      </c>
      <c r="F415" s="50" t="s">
        <v>1554</v>
      </c>
      <c r="G415" s="52" t="s">
        <v>1555</v>
      </c>
      <c r="H415" s="50" t="n">
        <v>25</v>
      </c>
      <c r="I415" s="50"/>
      <c r="K415" s="50"/>
    </row>
    <row r="416" customFormat="false" ht="15" hidden="false" customHeight="false" outlineLevel="0" collapsed="false">
      <c r="A416" s="50" t="s">
        <v>1556</v>
      </c>
      <c r="B416" s="50" t="s">
        <v>1557</v>
      </c>
      <c r="C416" s="50" t="s">
        <v>95</v>
      </c>
      <c r="D416" s="50" t="n">
        <v>2</v>
      </c>
      <c r="E416" s="50" t="s">
        <v>96</v>
      </c>
      <c r="F416" s="50" t="s">
        <v>1558</v>
      </c>
      <c r="G416" s="52" t="s">
        <v>1559</v>
      </c>
      <c r="H416" s="50" t="n">
        <v>0</v>
      </c>
      <c r="I416" s="50"/>
      <c r="K416" s="50"/>
    </row>
    <row r="417" customFormat="false" ht="15" hidden="false" customHeight="false" outlineLevel="0" collapsed="false">
      <c r="A417" s="50" t="s">
        <v>1560</v>
      </c>
      <c r="B417" s="50" t="s">
        <v>1561</v>
      </c>
      <c r="C417" s="50" t="s">
        <v>95</v>
      </c>
      <c r="D417" s="50" t="n">
        <v>15</v>
      </c>
      <c r="E417" s="50" t="s">
        <v>113</v>
      </c>
      <c r="F417" s="50" t="s">
        <v>1562</v>
      </c>
      <c r="G417" s="52" t="s">
        <v>1563</v>
      </c>
      <c r="H417" s="50" t="n">
        <v>24</v>
      </c>
      <c r="I417" s="50"/>
      <c r="K417" s="50"/>
    </row>
    <row r="418" customFormat="false" ht="15" hidden="false" customHeight="false" outlineLevel="0" collapsed="false">
      <c r="A418" s="50" t="s">
        <v>1564</v>
      </c>
      <c r="B418" s="50" t="s">
        <v>1565</v>
      </c>
      <c r="C418" s="50" t="s">
        <v>95</v>
      </c>
      <c r="D418" s="50" t="n">
        <v>2</v>
      </c>
      <c r="E418" s="50" t="s">
        <v>96</v>
      </c>
      <c r="F418" s="50" t="s">
        <v>1566</v>
      </c>
      <c r="G418" s="52" t="s">
        <v>318</v>
      </c>
      <c r="H418" s="50" t="n">
        <v>15</v>
      </c>
      <c r="I418" s="50"/>
      <c r="K418" s="50"/>
    </row>
    <row r="419" customFormat="false" ht="15" hidden="false" customHeight="false" outlineLevel="0" collapsed="false">
      <c r="A419" s="50" t="s">
        <v>1567</v>
      </c>
      <c r="B419" s="50" t="s">
        <v>1568</v>
      </c>
      <c r="C419" s="50" t="s">
        <v>95</v>
      </c>
      <c r="D419" s="50" t="n">
        <v>2</v>
      </c>
      <c r="E419" s="50" t="s">
        <v>96</v>
      </c>
      <c r="F419" s="50" t="s">
        <v>1569</v>
      </c>
      <c r="G419" s="52" t="s">
        <v>1570</v>
      </c>
      <c r="H419" s="50" t="n">
        <v>8</v>
      </c>
      <c r="I419" s="50"/>
      <c r="K419" s="50"/>
    </row>
    <row r="420" customFormat="false" ht="15" hidden="false" customHeight="false" outlineLevel="0" collapsed="false">
      <c r="A420" s="50" t="s">
        <v>1571</v>
      </c>
      <c r="B420" s="50" t="s">
        <v>1572</v>
      </c>
      <c r="C420" s="50" t="s">
        <v>95</v>
      </c>
      <c r="D420" s="50" t="n">
        <v>2</v>
      </c>
      <c r="E420" s="50" t="s">
        <v>96</v>
      </c>
      <c r="F420" s="50" t="s">
        <v>1573</v>
      </c>
      <c r="G420" s="52" t="s">
        <v>1574</v>
      </c>
      <c r="H420" s="50" t="n">
        <v>1</v>
      </c>
      <c r="I420" s="50"/>
      <c r="K420" s="50"/>
    </row>
    <row r="421" customFormat="false" ht="15" hidden="false" customHeight="false" outlineLevel="0" collapsed="false">
      <c r="A421" s="50" t="s">
        <v>1575</v>
      </c>
      <c r="B421" s="50" t="s">
        <v>1576</v>
      </c>
      <c r="C421" s="50" t="s">
        <v>95</v>
      </c>
      <c r="D421" s="50" t="n">
        <v>2</v>
      </c>
      <c r="E421" s="50" t="s">
        <v>96</v>
      </c>
      <c r="F421" s="50" t="s">
        <v>1577</v>
      </c>
      <c r="G421" s="52" t="s">
        <v>1574</v>
      </c>
      <c r="H421" s="50" t="n">
        <v>1</v>
      </c>
      <c r="I421" s="50"/>
      <c r="K421" s="50"/>
    </row>
    <row r="422" customFormat="false" ht="15" hidden="false" customHeight="false" outlineLevel="0" collapsed="false">
      <c r="A422" s="50" t="s">
        <v>1578</v>
      </c>
      <c r="B422" s="50" t="s">
        <v>1579</v>
      </c>
      <c r="C422" s="50" t="s">
        <v>95</v>
      </c>
      <c r="D422" s="50" t="n">
        <v>2</v>
      </c>
      <c r="E422" s="50" t="s">
        <v>96</v>
      </c>
      <c r="F422" s="50" t="s">
        <v>1580</v>
      </c>
      <c r="G422" s="52" t="s">
        <v>1574</v>
      </c>
      <c r="H422" s="50" t="n">
        <v>1</v>
      </c>
      <c r="I422" s="50"/>
      <c r="K422" s="50"/>
    </row>
    <row r="423" customFormat="false" ht="15" hidden="false" customHeight="false" outlineLevel="0" collapsed="false">
      <c r="A423" s="50" t="s">
        <v>1581</v>
      </c>
      <c r="B423" s="50" t="s">
        <v>1582</v>
      </c>
      <c r="C423" s="50" t="s">
        <v>95</v>
      </c>
      <c r="D423" s="50" t="n">
        <v>2</v>
      </c>
      <c r="E423" s="50" t="s">
        <v>96</v>
      </c>
      <c r="F423" s="50" t="s">
        <v>1583</v>
      </c>
      <c r="G423" s="52" t="s">
        <v>1584</v>
      </c>
      <c r="H423" s="50" t="n">
        <v>1</v>
      </c>
      <c r="I423" s="50"/>
      <c r="K423" s="50"/>
    </row>
    <row r="424" customFormat="false" ht="15" hidden="false" customHeight="false" outlineLevel="0" collapsed="false">
      <c r="A424" s="50" t="s">
        <v>1585</v>
      </c>
      <c r="B424" s="50" t="s">
        <v>1586</v>
      </c>
      <c r="C424" s="50" t="s">
        <v>95</v>
      </c>
      <c r="D424" s="50" t="n">
        <v>2</v>
      </c>
      <c r="E424" s="50" t="s">
        <v>96</v>
      </c>
      <c r="F424" s="50" t="s">
        <v>1587</v>
      </c>
      <c r="G424" s="52" t="s">
        <v>1588</v>
      </c>
      <c r="H424" s="50" t="n">
        <v>1</v>
      </c>
      <c r="I424" s="50"/>
      <c r="K424" s="50"/>
    </row>
    <row r="425" customFormat="false" ht="15" hidden="false" customHeight="false" outlineLevel="0" collapsed="false">
      <c r="A425" s="50" t="s">
        <v>1589</v>
      </c>
      <c r="B425" s="50" t="s">
        <v>1590</v>
      </c>
      <c r="C425" s="50" t="s">
        <v>95</v>
      </c>
      <c r="D425" s="50" t="n">
        <v>2</v>
      </c>
      <c r="E425" s="50" t="s">
        <v>96</v>
      </c>
      <c r="F425" s="50" t="s">
        <v>1591</v>
      </c>
      <c r="G425" s="52" t="s">
        <v>1592</v>
      </c>
      <c r="H425" s="50" t="n">
        <v>1</v>
      </c>
      <c r="I425" s="50"/>
      <c r="K425" s="50"/>
    </row>
    <row r="426" customFormat="false" ht="15" hidden="false" customHeight="false" outlineLevel="0" collapsed="false">
      <c r="A426" s="50" t="s">
        <v>1593</v>
      </c>
      <c r="B426" s="50" t="s">
        <v>1594</v>
      </c>
      <c r="C426" s="50" t="s">
        <v>95</v>
      </c>
      <c r="D426" s="50" t="n">
        <v>2</v>
      </c>
      <c r="E426" s="50" t="s">
        <v>96</v>
      </c>
      <c r="F426" s="50" t="s">
        <v>1595</v>
      </c>
      <c r="G426" s="52" t="s">
        <v>1596</v>
      </c>
      <c r="H426" s="50" t="n">
        <v>8</v>
      </c>
      <c r="I426" s="50"/>
      <c r="K426" s="50"/>
    </row>
    <row r="427" customFormat="false" ht="15" hidden="false" customHeight="false" outlineLevel="0" collapsed="false">
      <c r="A427" s="50" t="s">
        <v>1597</v>
      </c>
      <c r="B427" s="50" t="s">
        <v>1598</v>
      </c>
      <c r="C427" s="50" t="s">
        <v>95</v>
      </c>
      <c r="D427" s="50" t="n">
        <v>2</v>
      </c>
      <c r="E427" s="50" t="s">
        <v>96</v>
      </c>
      <c r="F427" s="50" t="s">
        <v>1599</v>
      </c>
      <c r="G427" s="52" t="s">
        <v>1600</v>
      </c>
      <c r="H427" s="50" t="n">
        <v>12</v>
      </c>
      <c r="I427" s="50"/>
      <c r="K427" s="50"/>
    </row>
    <row r="428" customFormat="false" ht="15" hidden="false" customHeight="false" outlineLevel="0" collapsed="false">
      <c r="A428" s="50" t="s">
        <v>1601</v>
      </c>
      <c r="B428" s="50" t="s">
        <v>1602</v>
      </c>
      <c r="C428" s="50" t="s">
        <v>95</v>
      </c>
      <c r="D428" s="50" t="n">
        <v>15</v>
      </c>
      <c r="E428" s="50" t="s">
        <v>113</v>
      </c>
      <c r="F428" s="50" t="s">
        <v>1603</v>
      </c>
      <c r="G428" s="52" t="s">
        <v>1600</v>
      </c>
      <c r="H428" s="50" t="n">
        <v>1</v>
      </c>
      <c r="I428" s="50"/>
      <c r="K428" s="50"/>
    </row>
    <row r="429" customFormat="false" ht="15" hidden="false" customHeight="false" outlineLevel="0" collapsed="false">
      <c r="A429" s="50" t="s">
        <v>1604</v>
      </c>
      <c r="B429" s="50" t="s">
        <v>1605</v>
      </c>
      <c r="C429" s="50" t="s">
        <v>95</v>
      </c>
      <c r="D429" s="50" t="n">
        <v>2</v>
      </c>
      <c r="E429" s="50" t="s">
        <v>96</v>
      </c>
      <c r="F429" s="50" t="s">
        <v>1606</v>
      </c>
      <c r="G429" s="52" t="s">
        <v>680</v>
      </c>
      <c r="H429" s="50" t="n">
        <v>8</v>
      </c>
      <c r="I429" s="50"/>
      <c r="K429" s="50"/>
    </row>
    <row r="430" customFormat="false" ht="15" hidden="false" customHeight="false" outlineLevel="0" collapsed="false">
      <c r="A430" s="50" t="s">
        <v>1607</v>
      </c>
      <c r="B430" s="50" t="s">
        <v>1608</v>
      </c>
      <c r="C430" s="50" t="s">
        <v>95</v>
      </c>
      <c r="D430" s="50" t="n">
        <v>15</v>
      </c>
      <c r="E430" s="50" t="s">
        <v>113</v>
      </c>
      <c r="F430" s="50" t="s">
        <v>1609</v>
      </c>
      <c r="G430" s="52" t="s">
        <v>680</v>
      </c>
      <c r="H430" s="50" t="n">
        <v>1</v>
      </c>
      <c r="I430" s="50"/>
      <c r="K430" s="50"/>
    </row>
    <row r="431" customFormat="false" ht="15" hidden="false" customHeight="false" outlineLevel="0" collapsed="false">
      <c r="A431" s="50" t="s">
        <v>1610</v>
      </c>
      <c r="B431" s="50" t="s">
        <v>1611</v>
      </c>
      <c r="C431" s="50" t="s">
        <v>95</v>
      </c>
      <c r="D431" s="50" t="n">
        <v>15</v>
      </c>
      <c r="E431" s="50" t="s">
        <v>113</v>
      </c>
      <c r="F431" s="50" t="s">
        <v>1612</v>
      </c>
      <c r="G431" s="52" t="s">
        <v>680</v>
      </c>
      <c r="H431" s="50" t="n">
        <v>1</v>
      </c>
      <c r="I431" s="50"/>
      <c r="K431" s="50"/>
    </row>
    <row r="432" customFormat="false" ht="15" hidden="false" customHeight="false" outlineLevel="0" collapsed="false">
      <c r="A432" s="50" t="s">
        <v>1613</v>
      </c>
      <c r="B432" s="50" t="s">
        <v>1614</v>
      </c>
      <c r="C432" s="50" t="s">
        <v>95</v>
      </c>
      <c r="D432" s="50" t="n">
        <v>2</v>
      </c>
      <c r="E432" s="50" t="s">
        <v>96</v>
      </c>
      <c r="F432" s="50" t="s">
        <v>1615</v>
      </c>
      <c r="G432" s="52" t="s">
        <v>1616</v>
      </c>
      <c r="H432" s="50" t="n">
        <v>90</v>
      </c>
      <c r="I432" s="50"/>
      <c r="K432" s="50"/>
    </row>
    <row r="433" customFormat="false" ht="15" hidden="false" customHeight="false" outlineLevel="0" collapsed="false">
      <c r="A433" s="50" t="s">
        <v>1617</v>
      </c>
      <c r="B433" s="50" t="s">
        <v>1618</v>
      </c>
      <c r="C433" s="50" t="s">
        <v>95</v>
      </c>
      <c r="D433" s="50" t="n">
        <v>2</v>
      </c>
      <c r="E433" s="50" t="s">
        <v>96</v>
      </c>
      <c r="F433" s="50" t="s">
        <v>1619</v>
      </c>
      <c r="G433" s="52" t="s">
        <v>1620</v>
      </c>
      <c r="H433" s="50" t="n">
        <v>32</v>
      </c>
      <c r="I433" s="50"/>
      <c r="K433" s="50"/>
    </row>
    <row r="434" customFormat="false" ht="15" hidden="false" customHeight="false" outlineLevel="0" collapsed="false">
      <c r="A434" s="50" t="s">
        <v>1621</v>
      </c>
      <c r="B434" s="50" t="s">
        <v>1622</v>
      </c>
      <c r="C434" s="50" t="s">
        <v>95</v>
      </c>
      <c r="D434" s="50" t="n">
        <v>2</v>
      </c>
      <c r="E434" s="50" t="s">
        <v>96</v>
      </c>
      <c r="F434" s="50" t="s">
        <v>1623</v>
      </c>
      <c r="G434" s="52" t="s">
        <v>1624</v>
      </c>
      <c r="H434" s="50" t="n">
        <v>30</v>
      </c>
      <c r="I434" s="50"/>
      <c r="K434" s="50"/>
    </row>
    <row r="435" customFormat="false" ht="15" hidden="false" customHeight="false" outlineLevel="0" collapsed="false">
      <c r="A435" s="50" t="s">
        <v>1625</v>
      </c>
      <c r="B435" s="50" t="s">
        <v>1626</v>
      </c>
      <c r="C435" s="50" t="s">
        <v>95</v>
      </c>
      <c r="D435" s="50" t="n">
        <v>2</v>
      </c>
      <c r="E435" s="50" t="s">
        <v>96</v>
      </c>
      <c r="F435" s="50" t="s">
        <v>1627</v>
      </c>
      <c r="G435" s="52" t="s">
        <v>1628</v>
      </c>
      <c r="H435" s="50" t="n">
        <v>30</v>
      </c>
      <c r="I435" s="50"/>
      <c r="K435" s="50"/>
    </row>
    <row r="436" customFormat="false" ht="15" hidden="false" customHeight="false" outlineLevel="0" collapsed="false">
      <c r="A436" s="50" t="s">
        <v>1629</v>
      </c>
      <c r="B436" s="50" t="s">
        <v>1630</v>
      </c>
      <c r="C436" s="50" t="s">
        <v>95</v>
      </c>
      <c r="D436" s="50" t="n">
        <v>2</v>
      </c>
      <c r="E436" s="50" t="s">
        <v>96</v>
      </c>
      <c r="F436" s="50" t="s">
        <v>1631</v>
      </c>
      <c r="G436" s="52" t="s">
        <v>1628</v>
      </c>
      <c r="H436" s="50" t="n">
        <v>30</v>
      </c>
      <c r="I436" s="50"/>
      <c r="K436" s="50"/>
    </row>
    <row r="437" customFormat="false" ht="15" hidden="false" customHeight="false" outlineLevel="0" collapsed="false">
      <c r="A437" s="50" t="s">
        <v>1632</v>
      </c>
      <c r="B437" s="50" t="s">
        <v>1633</v>
      </c>
      <c r="C437" s="50" t="s">
        <v>95</v>
      </c>
      <c r="D437" s="50" t="n">
        <v>2</v>
      </c>
      <c r="E437" s="50" t="s">
        <v>96</v>
      </c>
      <c r="F437" s="50" t="s">
        <v>1634</v>
      </c>
      <c r="G437" s="52" t="s">
        <v>1635</v>
      </c>
      <c r="H437" s="50" t="n">
        <v>240</v>
      </c>
      <c r="I437" s="50"/>
      <c r="K437" s="50"/>
    </row>
    <row r="438" customFormat="false" ht="15" hidden="false" customHeight="false" outlineLevel="0" collapsed="false">
      <c r="A438" s="50" t="s">
        <v>1636</v>
      </c>
      <c r="B438" s="50" t="s">
        <v>1637</v>
      </c>
      <c r="C438" s="50" t="s">
        <v>95</v>
      </c>
      <c r="D438" s="50" t="n">
        <v>2</v>
      </c>
      <c r="E438" s="50" t="s">
        <v>96</v>
      </c>
      <c r="F438" s="50" t="s">
        <v>1638</v>
      </c>
      <c r="G438" s="52" t="s">
        <v>1639</v>
      </c>
      <c r="H438" s="50" t="n">
        <v>320</v>
      </c>
      <c r="I438" s="50"/>
      <c r="K438" s="50"/>
    </row>
    <row r="439" customFormat="false" ht="15" hidden="false" customHeight="false" outlineLevel="0" collapsed="false">
      <c r="A439" s="50" t="s">
        <v>1640</v>
      </c>
      <c r="B439" s="50" t="s">
        <v>1641</v>
      </c>
      <c r="C439" s="50" t="s">
        <v>95</v>
      </c>
      <c r="D439" s="50" t="n">
        <v>2</v>
      </c>
      <c r="E439" s="50" t="s">
        <v>96</v>
      </c>
      <c r="F439" s="50" t="s">
        <v>1642</v>
      </c>
      <c r="G439" s="52" t="s">
        <v>1639</v>
      </c>
      <c r="H439" s="50" t="n">
        <v>320</v>
      </c>
      <c r="I439" s="50"/>
      <c r="K439" s="50"/>
    </row>
    <row r="440" customFormat="false" ht="15" hidden="false" customHeight="false" outlineLevel="0" collapsed="false">
      <c r="A440" s="50" t="s">
        <v>1643</v>
      </c>
      <c r="B440" s="50" t="s">
        <v>1644</v>
      </c>
      <c r="C440" s="50" t="s">
        <v>95</v>
      </c>
      <c r="D440" s="50" t="n">
        <v>2</v>
      </c>
      <c r="E440" s="50" t="s">
        <v>96</v>
      </c>
      <c r="F440" s="50" t="s">
        <v>1645</v>
      </c>
      <c r="G440" s="52" t="s">
        <v>1646</v>
      </c>
      <c r="H440" s="50" t="n">
        <v>300</v>
      </c>
      <c r="I440" s="50"/>
      <c r="K440" s="50"/>
    </row>
    <row r="441" customFormat="false" ht="15" hidden="false" customHeight="false" outlineLevel="0" collapsed="false">
      <c r="A441" s="50" t="s">
        <v>1647</v>
      </c>
      <c r="B441" s="50" t="s">
        <v>1648</v>
      </c>
      <c r="C441" s="50" t="s">
        <v>95</v>
      </c>
      <c r="D441" s="50" t="n">
        <v>2</v>
      </c>
      <c r="E441" s="50" t="s">
        <v>96</v>
      </c>
      <c r="F441" s="50" t="s">
        <v>1649</v>
      </c>
      <c r="G441" s="52" t="s">
        <v>1650</v>
      </c>
      <c r="H441" s="50" t="n">
        <v>0</v>
      </c>
      <c r="I441" s="50"/>
      <c r="K441" s="50"/>
    </row>
    <row r="442" customFormat="false" ht="15" hidden="false" customHeight="false" outlineLevel="0" collapsed="false">
      <c r="A442" s="50" t="s">
        <v>1651</v>
      </c>
      <c r="B442" s="50" t="s">
        <v>1652</v>
      </c>
      <c r="C442" s="50" t="s">
        <v>95</v>
      </c>
      <c r="D442" s="50" t="n">
        <v>2</v>
      </c>
      <c r="E442" s="50" t="s">
        <v>96</v>
      </c>
      <c r="F442" s="50" t="s">
        <v>1653</v>
      </c>
      <c r="G442" s="52" t="s">
        <v>1272</v>
      </c>
      <c r="H442" s="50" t="n">
        <v>20</v>
      </c>
      <c r="I442" s="50"/>
      <c r="K442" s="50"/>
    </row>
    <row r="443" customFormat="false" ht="15" hidden="false" customHeight="false" outlineLevel="0" collapsed="false">
      <c r="A443" s="50" t="s">
        <v>1654</v>
      </c>
      <c r="B443" s="50" t="s">
        <v>1655</v>
      </c>
      <c r="C443" s="50" t="s">
        <v>95</v>
      </c>
      <c r="D443" s="50" t="n">
        <v>2</v>
      </c>
      <c r="E443" s="50" t="s">
        <v>96</v>
      </c>
      <c r="F443" s="50" t="s">
        <v>1656</v>
      </c>
      <c r="G443" s="52" t="s">
        <v>1657</v>
      </c>
      <c r="H443" s="50" t="n">
        <v>30</v>
      </c>
      <c r="I443" s="50"/>
      <c r="K443" s="50"/>
    </row>
    <row r="444" customFormat="false" ht="15" hidden="false" customHeight="false" outlineLevel="0" collapsed="false">
      <c r="A444" s="50" t="s">
        <v>1658</v>
      </c>
      <c r="B444" s="50" t="s">
        <v>1659</v>
      </c>
      <c r="C444" s="50" t="s">
        <v>95</v>
      </c>
      <c r="D444" s="50" t="n">
        <v>2</v>
      </c>
      <c r="E444" s="50" t="s">
        <v>96</v>
      </c>
      <c r="F444" s="50" t="s">
        <v>1660</v>
      </c>
      <c r="G444" s="52" t="s">
        <v>1646</v>
      </c>
      <c r="H444" s="50" t="n">
        <v>240</v>
      </c>
      <c r="I444" s="50"/>
      <c r="K444" s="50"/>
    </row>
    <row r="445" customFormat="false" ht="15" hidden="false" customHeight="false" outlineLevel="0" collapsed="false">
      <c r="A445" s="50" t="s">
        <v>1661</v>
      </c>
      <c r="B445" s="50" t="s">
        <v>1662</v>
      </c>
      <c r="C445" s="50" t="s">
        <v>95</v>
      </c>
      <c r="D445" s="50" t="n">
        <v>2</v>
      </c>
      <c r="E445" s="50" t="s">
        <v>96</v>
      </c>
      <c r="F445" s="50" t="s">
        <v>1663</v>
      </c>
      <c r="G445" s="52" t="s">
        <v>1664</v>
      </c>
      <c r="H445" s="50" t="n">
        <v>50</v>
      </c>
      <c r="I445" s="50"/>
      <c r="K445" s="50"/>
    </row>
    <row r="446" customFormat="false" ht="15" hidden="false" customHeight="false" outlineLevel="0" collapsed="false">
      <c r="A446" s="50" t="s">
        <v>1665</v>
      </c>
      <c r="B446" s="50" t="s">
        <v>1666</v>
      </c>
      <c r="C446" s="50" t="s">
        <v>95</v>
      </c>
      <c r="D446" s="50" t="n">
        <v>2</v>
      </c>
      <c r="E446" s="50" t="s">
        <v>96</v>
      </c>
      <c r="F446" s="50" t="s">
        <v>1667</v>
      </c>
      <c r="G446" s="52" t="s">
        <v>1668</v>
      </c>
      <c r="H446" s="50" t="n">
        <v>25</v>
      </c>
      <c r="I446" s="50"/>
      <c r="K446" s="50"/>
    </row>
    <row r="447" customFormat="false" ht="15" hidden="false" customHeight="false" outlineLevel="0" collapsed="false">
      <c r="A447" s="50" t="s">
        <v>1669</v>
      </c>
      <c r="B447" s="50" t="s">
        <v>1670</v>
      </c>
      <c r="C447" s="50" t="s">
        <v>95</v>
      </c>
      <c r="D447" s="50" t="n">
        <v>2</v>
      </c>
      <c r="E447" s="50" t="s">
        <v>96</v>
      </c>
      <c r="F447" s="50" t="s">
        <v>1671</v>
      </c>
      <c r="G447" s="52" t="s">
        <v>918</v>
      </c>
      <c r="H447" s="50" t="n">
        <v>1</v>
      </c>
      <c r="I447" s="50"/>
      <c r="K447" s="50"/>
    </row>
    <row r="448" customFormat="false" ht="15" hidden="false" customHeight="false" outlineLevel="0" collapsed="false">
      <c r="A448" s="50" t="s">
        <v>1672</v>
      </c>
      <c r="B448" s="50" t="s">
        <v>1673</v>
      </c>
      <c r="C448" s="50" t="s">
        <v>95</v>
      </c>
      <c r="D448" s="50" t="n">
        <v>2</v>
      </c>
      <c r="E448" s="50" t="s">
        <v>96</v>
      </c>
      <c r="F448" s="50" t="s">
        <v>1674</v>
      </c>
      <c r="G448" s="52" t="s">
        <v>1675</v>
      </c>
      <c r="H448" s="50" t="n">
        <v>10</v>
      </c>
      <c r="I448" s="50"/>
      <c r="K448" s="50"/>
    </row>
    <row r="449" customFormat="false" ht="15" hidden="false" customHeight="false" outlineLevel="0" collapsed="false">
      <c r="A449" s="50" t="s">
        <v>1676</v>
      </c>
      <c r="B449" s="50" t="s">
        <v>1677</v>
      </c>
      <c r="C449" s="50" t="s">
        <v>95</v>
      </c>
      <c r="D449" s="50" t="n">
        <v>2</v>
      </c>
      <c r="E449" s="50" t="s">
        <v>96</v>
      </c>
      <c r="F449" s="50" t="s">
        <v>1678</v>
      </c>
      <c r="G449" s="52" t="s">
        <v>1679</v>
      </c>
      <c r="H449" s="50" t="n">
        <v>10</v>
      </c>
      <c r="I449" s="50"/>
      <c r="K449" s="50"/>
    </row>
    <row r="450" customFormat="false" ht="15" hidden="false" customHeight="false" outlineLevel="0" collapsed="false">
      <c r="A450" s="50" t="s">
        <v>1680</v>
      </c>
      <c r="B450" s="50" t="s">
        <v>1681</v>
      </c>
      <c r="C450" s="50" t="s">
        <v>95</v>
      </c>
      <c r="D450" s="50" t="n">
        <v>2</v>
      </c>
      <c r="E450" s="50" t="s">
        <v>96</v>
      </c>
      <c r="F450" s="50" t="s">
        <v>1682</v>
      </c>
      <c r="G450" s="52" t="s">
        <v>1683</v>
      </c>
      <c r="H450" s="50" t="n">
        <v>6</v>
      </c>
      <c r="I450" s="50"/>
      <c r="K450" s="50"/>
    </row>
    <row r="451" customFormat="false" ht="15" hidden="false" customHeight="false" outlineLevel="0" collapsed="false">
      <c r="A451" s="50" t="s">
        <v>1684</v>
      </c>
      <c r="B451" s="50" t="s">
        <v>1685</v>
      </c>
      <c r="C451" s="50" t="s">
        <v>95</v>
      </c>
      <c r="D451" s="50" t="n">
        <v>2</v>
      </c>
      <c r="E451" s="50" t="s">
        <v>96</v>
      </c>
      <c r="F451" s="50" t="s">
        <v>1686</v>
      </c>
      <c r="G451" s="52" t="s">
        <v>1470</v>
      </c>
      <c r="H451" s="50" t="n">
        <v>30</v>
      </c>
      <c r="I451" s="50"/>
      <c r="K451" s="50"/>
    </row>
    <row r="452" customFormat="false" ht="15" hidden="false" customHeight="false" outlineLevel="0" collapsed="false">
      <c r="A452" s="50" t="s">
        <v>1687</v>
      </c>
      <c r="B452" s="50" t="s">
        <v>1688</v>
      </c>
      <c r="C452" s="50" t="s">
        <v>95</v>
      </c>
      <c r="D452" s="50" t="n">
        <v>2</v>
      </c>
      <c r="E452" s="50" t="s">
        <v>96</v>
      </c>
      <c r="F452" s="50" t="s">
        <v>1689</v>
      </c>
      <c r="G452" s="52" t="s">
        <v>1470</v>
      </c>
      <c r="H452" s="50" t="n">
        <v>30</v>
      </c>
      <c r="I452" s="50"/>
      <c r="K452" s="50"/>
    </row>
    <row r="453" customFormat="false" ht="15" hidden="false" customHeight="false" outlineLevel="0" collapsed="false">
      <c r="A453" s="50" t="s">
        <v>1690</v>
      </c>
      <c r="B453" s="50" t="s">
        <v>1691</v>
      </c>
      <c r="C453" s="50" t="s">
        <v>95</v>
      </c>
      <c r="D453" s="50" t="n">
        <v>2</v>
      </c>
      <c r="E453" s="50" t="s">
        <v>96</v>
      </c>
      <c r="F453" s="50" t="s">
        <v>1692</v>
      </c>
      <c r="G453" s="52" t="s">
        <v>1470</v>
      </c>
      <c r="H453" s="50" t="n">
        <v>30</v>
      </c>
      <c r="I453" s="50"/>
      <c r="K453" s="50"/>
    </row>
    <row r="454" customFormat="false" ht="15" hidden="false" customHeight="false" outlineLevel="0" collapsed="false">
      <c r="A454" s="50" t="s">
        <v>1693</v>
      </c>
      <c r="B454" s="50" t="s">
        <v>1694</v>
      </c>
      <c r="C454" s="50" t="s">
        <v>95</v>
      </c>
      <c r="D454" s="50" t="n">
        <v>2</v>
      </c>
      <c r="E454" s="50" t="s">
        <v>96</v>
      </c>
      <c r="F454" s="50" t="s">
        <v>1695</v>
      </c>
      <c r="G454" s="52" t="s">
        <v>1470</v>
      </c>
      <c r="H454" s="50" t="n">
        <v>30</v>
      </c>
      <c r="I454" s="50"/>
      <c r="K454" s="50"/>
    </row>
    <row r="455" customFormat="false" ht="15" hidden="false" customHeight="false" outlineLevel="0" collapsed="false">
      <c r="A455" s="50" t="s">
        <v>1696</v>
      </c>
      <c r="B455" s="50" t="s">
        <v>1697</v>
      </c>
      <c r="C455" s="50" t="s">
        <v>95</v>
      </c>
      <c r="D455" s="50" t="n">
        <v>2</v>
      </c>
      <c r="E455" s="50" t="s">
        <v>96</v>
      </c>
      <c r="F455" s="50" t="s">
        <v>1698</v>
      </c>
      <c r="G455" s="52" t="s">
        <v>1699</v>
      </c>
      <c r="H455" s="50" t="n">
        <v>1</v>
      </c>
      <c r="I455" s="50"/>
      <c r="K455" s="50"/>
    </row>
    <row r="456" customFormat="false" ht="15" hidden="false" customHeight="false" outlineLevel="0" collapsed="false">
      <c r="A456" s="50" t="s">
        <v>1700</v>
      </c>
      <c r="B456" s="50" t="s">
        <v>1701</v>
      </c>
      <c r="C456" s="50" t="s">
        <v>95</v>
      </c>
      <c r="D456" s="50" t="n">
        <v>20</v>
      </c>
      <c r="E456" s="50" t="s">
        <v>113</v>
      </c>
      <c r="F456" s="50" t="s">
        <v>1702</v>
      </c>
      <c r="G456" s="52" t="s">
        <v>1699</v>
      </c>
      <c r="H456" s="50" t="n">
        <v>1</v>
      </c>
      <c r="I456" s="50"/>
      <c r="K456" s="50"/>
    </row>
    <row r="457" customFormat="false" ht="15" hidden="false" customHeight="false" outlineLevel="0" collapsed="false">
      <c r="A457" s="50" t="s">
        <v>1703</v>
      </c>
      <c r="B457" s="50" t="s">
        <v>1704</v>
      </c>
      <c r="C457" s="50" t="s">
        <v>95</v>
      </c>
      <c r="D457" s="50" t="n">
        <v>2</v>
      </c>
      <c r="E457" s="50" t="s">
        <v>96</v>
      </c>
      <c r="F457" s="50" t="s">
        <v>1705</v>
      </c>
      <c r="G457" s="52" t="s">
        <v>1706</v>
      </c>
      <c r="H457" s="50" t="n">
        <v>4</v>
      </c>
      <c r="I457" s="50"/>
      <c r="K457" s="50"/>
    </row>
    <row r="458" customFormat="false" ht="15" hidden="false" customHeight="false" outlineLevel="0" collapsed="false">
      <c r="A458" s="50" t="s">
        <v>1707</v>
      </c>
      <c r="B458" s="50" t="s">
        <v>1708</v>
      </c>
      <c r="C458" s="50" t="s">
        <v>95</v>
      </c>
      <c r="D458" s="50" t="n">
        <v>2</v>
      </c>
      <c r="E458" s="50" t="s">
        <v>96</v>
      </c>
      <c r="F458" s="50" t="s">
        <v>1709</v>
      </c>
      <c r="G458" s="52" t="s">
        <v>1710</v>
      </c>
      <c r="H458" s="50" t="n">
        <v>4</v>
      </c>
      <c r="I458" s="50"/>
      <c r="K458" s="50"/>
    </row>
    <row r="459" customFormat="false" ht="15" hidden="false" customHeight="false" outlineLevel="0" collapsed="false">
      <c r="A459" s="50" t="s">
        <v>1711</v>
      </c>
      <c r="B459" s="50" t="s">
        <v>1712</v>
      </c>
      <c r="C459" s="50" t="s">
        <v>95</v>
      </c>
      <c r="D459" s="50" t="n">
        <v>2</v>
      </c>
      <c r="E459" s="50" t="s">
        <v>96</v>
      </c>
      <c r="F459" s="50" t="s">
        <v>1713</v>
      </c>
      <c r="G459" s="52" t="s">
        <v>1710</v>
      </c>
      <c r="H459" s="50" t="n">
        <v>4</v>
      </c>
      <c r="I459" s="50"/>
      <c r="K459" s="50"/>
    </row>
    <row r="460" customFormat="false" ht="15" hidden="false" customHeight="false" outlineLevel="0" collapsed="false">
      <c r="A460" s="50" t="s">
        <v>1714</v>
      </c>
      <c r="B460" s="50" t="s">
        <v>1715</v>
      </c>
      <c r="C460" s="50" t="s">
        <v>95</v>
      </c>
      <c r="D460" s="50" t="n">
        <v>2</v>
      </c>
      <c r="E460" s="50" t="s">
        <v>96</v>
      </c>
      <c r="F460" s="50" t="s">
        <v>1716</v>
      </c>
      <c r="G460" s="52" t="s">
        <v>1706</v>
      </c>
      <c r="H460" s="50" t="n">
        <v>4</v>
      </c>
      <c r="I460" s="50"/>
      <c r="K460" s="50"/>
    </row>
    <row r="461" customFormat="false" ht="15" hidden="false" customHeight="false" outlineLevel="0" collapsed="false">
      <c r="A461" s="50" t="s">
        <v>1717</v>
      </c>
      <c r="B461" s="50" t="s">
        <v>1718</v>
      </c>
      <c r="C461" s="50" t="s">
        <v>95</v>
      </c>
      <c r="D461" s="50" t="n">
        <v>2</v>
      </c>
      <c r="E461" s="50" t="s">
        <v>96</v>
      </c>
      <c r="F461" s="50" t="s">
        <v>1719</v>
      </c>
      <c r="G461" s="52" t="s">
        <v>1720</v>
      </c>
      <c r="H461" s="50" t="n">
        <v>1</v>
      </c>
      <c r="I461" s="50"/>
      <c r="K461" s="50"/>
    </row>
    <row r="462" customFormat="false" ht="15" hidden="false" customHeight="false" outlineLevel="0" collapsed="false">
      <c r="A462" s="50" t="s">
        <v>1721</v>
      </c>
      <c r="B462" s="50" t="s">
        <v>1722</v>
      </c>
      <c r="C462" s="50" t="s">
        <v>95</v>
      </c>
      <c r="D462" s="50" t="n">
        <v>2</v>
      </c>
      <c r="E462" s="50" t="s">
        <v>96</v>
      </c>
      <c r="F462" s="50" t="s">
        <v>1723</v>
      </c>
      <c r="G462" s="52" t="s">
        <v>1720</v>
      </c>
      <c r="H462" s="50" t="n">
        <v>50</v>
      </c>
      <c r="I462" s="50"/>
      <c r="K462" s="50"/>
    </row>
    <row r="463" customFormat="false" ht="15" hidden="false" customHeight="false" outlineLevel="0" collapsed="false">
      <c r="A463" s="50" t="s">
        <v>1724</v>
      </c>
      <c r="B463" s="50" t="s">
        <v>1725</v>
      </c>
      <c r="C463" s="50" t="s">
        <v>95</v>
      </c>
      <c r="D463" s="50" t="n">
        <v>2</v>
      </c>
      <c r="E463" s="50" t="s">
        <v>96</v>
      </c>
      <c r="F463" s="50" t="s">
        <v>1726</v>
      </c>
      <c r="G463" s="52" t="s">
        <v>1727</v>
      </c>
      <c r="H463" s="50" t="n">
        <v>0</v>
      </c>
      <c r="I463" s="50"/>
      <c r="K463" s="50"/>
    </row>
    <row r="464" customFormat="false" ht="15" hidden="false" customHeight="false" outlineLevel="0" collapsed="false">
      <c r="A464" s="50" t="s">
        <v>1728</v>
      </c>
      <c r="B464" s="50" t="s">
        <v>1729</v>
      </c>
      <c r="C464" s="50" t="s">
        <v>95</v>
      </c>
      <c r="D464" s="50" t="n">
        <v>2</v>
      </c>
      <c r="E464" s="50" t="s">
        <v>96</v>
      </c>
      <c r="F464" s="50" t="s">
        <v>1730</v>
      </c>
      <c r="G464" s="52" t="s">
        <v>1731</v>
      </c>
      <c r="H464" s="50" t="n">
        <v>0</v>
      </c>
      <c r="I464" s="50"/>
      <c r="K464" s="50"/>
    </row>
    <row r="465" customFormat="false" ht="15" hidden="false" customHeight="false" outlineLevel="0" collapsed="false">
      <c r="A465" s="50" t="s">
        <v>1732</v>
      </c>
      <c r="B465" s="50" t="s">
        <v>1733</v>
      </c>
      <c r="C465" s="50" t="s">
        <v>95</v>
      </c>
      <c r="D465" s="50" t="n">
        <v>2</v>
      </c>
      <c r="E465" s="50" t="s">
        <v>96</v>
      </c>
      <c r="F465" s="50" t="s">
        <v>1734</v>
      </c>
      <c r="G465" s="52" t="s">
        <v>1735</v>
      </c>
      <c r="H465" s="50" t="n">
        <v>0</v>
      </c>
      <c r="I465" s="50"/>
      <c r="K465" s="50"/>
    </row>
    <row r="466" customFormat="false" ht="15" hidden="false" customHeight="false" outlineLevel="0" collapsed="false">
      <c r="A466" s="50" t="s">
        <v>1736</v>
      </c>
      <c r="B466" s="50" t="s">
        <v>1737</v>
      </c>
      <c r="C466" s="50" t="s">
        <v>95</v>
      </c>
      <c r="D466" s="50" t="n">
        <v>2</v>
      </c>
      <c r="E466" s="50" t="s">
        <v>96</v>
      </c>
      <c r="F466" s="50" t="s">
        <v>1738</v>
      </c>
      <c r="G466" s="52" t="s">
        <v>1731</v>
      </c>
      <c r="H466" s="50" t="n">
        <v>0</v>
      </c>
      <c r="I466" s="50"/>
      <c r="K466" s="50"/>
    </row>
    <row r="467" customFormat="false" ht="15" hidden="false" customHeight="false" outlineLevel="0" collapsed="false">
      <c r="A467" s="50" t="s">
        <v>1739</v>
      </c>
      <c r="B467" s="50" t="s">
        <v>1740</v>
      </c>
      <c r="C467" s="50" t="s">
        <v>95</v>
      </c>
      <c r="D467" s="50" t="n">
        <v>2</v>
      </c>
      <c r="E467" s="50" t="s">
        <v>96</v>
      </c>
      <c r="F467" s="50" t="s">
        <v>1741</v>
      </c>
      <c r="G467" s="52" t="s">
        <v>1742</v>
      </c>
      <c r="H467" s="50" t="n">
        <v>0</v>
      </c>
      <c r="I467" s="50"/>
      <c r="K467" s="50"/>
    </row>
    <row r="468" customFormat="false" ht="15" hidden="false" customHeight="false" outlineLevel="0" collapsed="false">
      <c r="A468" s="50" t="s">
        <v>1743</v>
      </c>
      <c r="B468" s="50" t="s">
        <v>1744</v>
      </c>
      <c r="C468" s="50" t="s">
        <v>95</v>
      </c>
      <c r="D468" s="50" t="n">
        <v>2</v>
      </c>
      <c r="E468" s="50" t="s">
        <v>96</v>
      </c>
      <c r="F468" s="50" t="s">
        <v>1745</v>
      </c>
      <c r="G468" s="52" t="s">
        <v>1746</v>
      </c>
      <c r="H468" s="50" t="n">
        <v>0</v>
      </c>
      <c r="I468" s="50"/>
      <c r="K468" s="50"/>
    </row>
    <row r="469" customFormat="false" ht="15" hidden="false" customHeight="false" outlineLevel="0" collapsed="false">
      <c r="A469" s="50" t="s">
        <v>1747</v>
      </c>
      <c r="B469" s="50" t="s">
        <v>1748</v>
      </c>
      <c r="C469" s="50" t="s">
        <v>95</v>
      </c>
      <c r="D469" s="50" t="n">
        <v>2</v>
      </c>
      <c r="E469" s="50" t="s">
        <v>96</v>
      </c>
      <c r="F469" s="50" t="s">
        <v>1749</v>
      </c>
      <c r="G469" s="52" t="s">
        <v>1750</v>
      </c>
      <c r="H469" s="50" t="n">
        <v>0</v>
      </c>
      <c r="I469" s="50"/>
      <c r="K469" s="50"/>
    </row>
    <row r="470" customFormat="false" ht="15" hidden="false" customHeight="false" outlineLevel="0" collapsed="false">
      <c r="A470" s="50" t="s">
        <v>1751</v>
      </c>
      <c r="B470" s="50" t="s">
        <v>1752</v>
      </c>
      <c r="C470" s="50" t="s">
        <v>95</v>
      </c>
      <c r="D470" s="50" t="n">
        <v>20</v>
      </c>
      <c r="E470" s="50" t="s">
        <v>113</v>
      </c>
      <c r="F470" s="50" t="s">
        <v>1753</v>
      </c>
      <c r="G470" s="52" t="s">
        <v>1754</v>
      </c>
      <c r="H470" s="50" t="n">
        <v>0</v>
      </c>
      <c r="I470" s="50"/>
      <c r="K470" s="50"/>
    </row>
    <row r="471" customFormat="false" ht="15" hidden="false" customHeight="false" outlineLevel="0" collapsed="false">
      <c r="A471" s="50" t="s">
        <v>1755</v>
      </c>
      <c r="B471" s="50" t="s">
        <v>1756</v>
      </c>
      <c r="C471" s="50" t="s">
        <v>95</v>
      </c>
      <c r="D471" s="50" t="n">
        <v>20</v>
      </c>
      <c r="E471" s="50" t="s">
        <v>113</v>
      </c>
      <c r="F471" s="50" t="s">
        <v>1757</v>
      </c>
      <c r="G471" s="52" t="s">
        <v>1758</v>
      </c>
      <c r="H471" s="50" t="n">
        <v>0</v>
      </c>
      <c r="I471" s="50"/>
      <c r="K471" s="50"/>
    </row>
    <row r="472" customFormat="false" ht="15" hidden="false" customHeight="false" outlineLevel="0" collapsed="false">
      <c r="A472" s="50" t="s">
        <v>1759</v>
      </c>
      <c r="B472" s="50" t="s">
        <v>1760</v>
      </c>
      <c r="C472" s="50" t="s">
        <v>95</v>
      </c>
      <c r="D472" s="50" t="n">
        <v>2</v>
      </c>
      <c r="E472" s="50" t="s">
        <v>96</v>
      </c>
      <c r="F472" s="50" t="s">
        <v>1761</v>
      </c>
      <c r="G472" s="52" t="s">
        <v>184</v>
      </c>
      <c r="H472" s="50" t="n">
        <v>0</v>
      </c>
      <c r="I472" s="50"/>
      <c r="K472" s="50"/>
    </row>
    <row r="473" customFormat="false" ht="15" hidden="false" customHeight="false" outlineLevel="0" collapsed="false">
      <c r="A473" s="50" t="s">
        <v>1762</v>
      </c>
      <c r="B473" s="50" t="s">
        <v>1763</v>
      </c>
      <c r="C473" s="50" t="s">
        <v>95</v>
      </c>
      <c r="D473" s="50" t="n">
        <v>2</v>
      </c>
      <c r="E473" s="50" t="s">
        <v>96</v>
      </c>
      <c r="F473" s="50" t="s">
        <v>1764</v>
      </c>
      <c r="G473" s="52" t="s">
        <v>1765</v>
      </c>
      <c r="H473" s="50" t="n">
        <v>0</v>
      </c>
      <c r="I473" s="50"/>
      <c r="K473" s="50"/>
    </row>
    <row r="474" customFormat="false" ht="15" hidden="false" customHeight="false" outlineLevel="0" collapsed="false">
      <c r="A474" s="50" t="s">
        <v>1766</v>
      </c>
      <c r="B474" s="50" t="s">
        <v>1767</v>
      </c>
      <c r="C474" s="50" t="s">
        <v>95</v>
      </c>
      <c r="D474" s="50" t="n">
        <v>2</v>
      </c>
      <c r="E474" s="50" t="s">
        <v>96</v>
      </c>
      <c r="F474" s="50" t="s">
        <v>1768</v>
      </c>
      <c r="G474" s="52" t="s">
        <v>1769</v>
      </c>
      <c r="H474" s="50" t="n">
        <v>0</v>
      </c>
      <c r="I474" s="50"/>
      <c r="K474" s="50"/>
    </row>
    <row r="475" customFormat="false" ht="15" hidden="false" customHeight="false" outlineLevel="0" collapsed="false">
      <c r="A475" s="50" t="s">
        <v>1770</v>
      </c>
      <c r="B475" s="50" t="s">
        <v>1771</v>
      </c>
      <c r="C475" s="50" t="s">
        <v>95</v>
      </c>
      <c r="D475" s="50" t="n">
        <v>2</v>
      </c>
      <c r="E475" s="50" t="s">
        <v>96</v>
      </c>
      <c r="F475" s="50" t="s">
        <v>1772</v>
      </c>
      <c r="G475" s="52" t="s">
        <v>1773</v>
      </c>
      <c r="H475" s="50" t="n">
        <v>0</v>
      </c>
      <c r="I475" s="50"/>
      <c r="K475" s="50"/>
    </row>
    <row r="476" customFormat="false" ht="15" hidden="false" customHeight="false" outlineLevel="0" collapsed="false">
      <c r="A476" s="50" t="s">
        <v>1774</v>
      </c>
      <c r="B476" s="50" t="s">
        <v>1775</v>
      </c>
      <c r="C476" s="50" t="s">
        <v>95</v>
      </c>
      <c r="D476" s="50" t="n">
        <v>2</v>
      </c>
      <c r="E476" s="50" t="s">
        <v>96</v>
      </c>
      <c r="F476" s="50" t="s">
        <v>1776</v>
      </c>
      <c r="G476" s="52" t="s">
        <v>1777</v>
      </c>
      <c r="H476" s="50" t="n">
        <v>0</v>
      </c>
      <c r="I476" s="50"/>
      <c r="K476" s="50"/>
    </row>
    <row r="477" customFormat="false" ht="15" hidden="false" customHeight="false" outlineLevel="0" collapsed="false">
      <c r="A477" s="50" t="s">
        <v>1778</v>
      </c>
      <c r="B477" s="50" t="s">
        <v>1779</v>
      </c>
      <c r="C477" s="50" t="s">
        <v>95</v>
      </c>
      <c r="D477" s="50" t="n">
        <v>20</v>
      </c>
      <c r="E477" s="50" t="s">
        <v>113</v>
      </c>
      <c r="F477" s="50" t="s">
        <v>1780</v>
      </c>
      <c r="G477" s="52" t="s">
        <v>1781</v>
      </c>
      <c r="H477" s="50" t="n">
        <v>0</v>
      </c>
      <c r="I477" s="50"/>
      <c r="K477" s="50"/>
    </row>
    <row r="478" customFormat="false" ht="15" hidden="false" customHeight="false" outlineLevel="0" collapsed="false">
      <c r="A478" s="50" t="s">
        <v>1782</v>
      </c>
      <c r="B478" s="50" t="s">
        <v>1783</v>
      </c>
      <c r="C478" s="50" t="s">
        <v>95</v>
      </c>
      <c r="D478" s="50" t="n">
        <v>20</v>
      </c>
      <c r="E478" s="50" t="s">
        <v>113</v>
      </c>
      <c r="F478" s="50" t="s">
        <v>1784</v>
      </c>
      <c r="G478" s="52" t="s">
        <v>1785</v>
      </c>
      <c r="H478" s="50" t="n">
        <v>0</v>
      </c>
      <c r="I478" s="50"/>
      <c r="K478" s="50"/>
    </row>
    <row r="479" customFormat="false" ht="15" hidden="false" customHeight="false" outlineLevel="0" collapsed="false">
      <c r="A479" s="50" t="s">
        <v>1786</v>
      </c>
      <c r="B479" s="50" t="s">
        <v>1787</v>
      </c>
      <c r="C479" s="50" t="s">
        <v>95</v>
      </c>
      <c r="D479" s="50" t="n">
        <v>20</v>
      </c>
      <c r="E479" s="50" t="s">
        <v>113</v>
      </c>
      <c r="F479" s="50" t="s">
        <v>1788</v>
      </c>
      <c r="G479" s="52" t="s">
        <v>1789</v>
      </c>
      <c r="H479" s="50" t="n">
        <v>0</v>
      </c>
      <c r="I479" s="50"/>
      <c r="K479" s="50"/>
    </row>
    <row r="480" customFormat="false" ht="15" hidden="false" customHeight="false" outlineLevel="0" collapsed="false">
      <c r="A480" s="50" t="s">
        <v>1790</v>
      </c>
      <c r="B480" s="50" t="s">
        <v>1791</v>
      </c>
      <c r="C480" s="50" t="s">
        <v>95</v>
      </c>
      <c r="D480" s="50" t="n">
        <v>20</v>
      </c>
      <c r="E480" s="50" t="s">
        <v>113</v>
      </c>
      <c r="F480" s="50" t="s">
        <v>1792</v>
      </c>
      <c r="G480" s="52" t="s">
        <v>1793</v>
      </c>
      <c r="H480" s="50" t="n">
        <v>0</v>
      </c>
      <c r="I480" s="50"/>
      <c r="K480" s="50"/>
    </row>
    <row r="481" customFormat="false" ht="15" hidden="false" customHeight="false" outlineLevel="0" collapsed="false">
      <c r="A481" s="50" t="s">
        <v>1794</v>
      </c>
      <c r="B481" s="50" t="s">
        <v>1795</v>
      </c>
      <c r="C481" s="50" t="s">
        <v>95</v>
      </c>
      <c r="D481" s="50" t="n">
        <v>20</v>
      </c>
      <c r="E481" s="50" t="s">
        <v>113</v>
      </c>
      <c r="F481" s="50" t="s">
        <v>1796</v>
      </c>
      <c r="G481" s="52" t="s">
        <v>1785</v>
      </c>
      <c r="H481" s="50" t="n">
        <v>0</v>
      </c>
      <c r="I481" s="50"/>
      <c r="K481" s="50"/>
    </row>
    <row r="482" customFormat="false" ht="15" hidden="false" customHeight="false" outlineLevel="0" collapsed="false">
      <c r="A482" s="50" t="s">
        <v>1797</v>
      </c>
      <c r="B482" s="50" t="s">
        <v>1798</v>
      </c>
      <c r="C482" s="50" t="s">
        <v>95</v>
      </c>
      <c r="D482" s="50" t="n">
        <v>20</v>
      </c>
      <c r="E482" s="50" t="s">
        <v>113</v>
      </c>
      <c r="F482" s="50" t="s">
        <v>1799</v>
      </c>
      <c r="G482" s="52" t="s">
        <v>1800</v>
      </c>
      <c r="H482" s="50" t="n">
        <v>0</v>
      </c>
      <c r="I482" s="50"/>
      <c r="K482" s="50"/>
    </row>
    <row r="483" customFormat="false" ht="15" hidden="false" customHeight="false" outlineLevel="0" collapsed="false">
      <c r="A483" s="50" t="s">
        <v>1801</v>
      </c>
      <c r="B483" s="50" t="s">
        <v>1802</v>
      </c>
      <c r="C483" s="50" t="s">
        <v>95</v>
      </c>
      <c r="D483" s="50" t="n">
        <v>2</v>
      </c>
      <c r="E483" s="50" t="s">
        <v>96</v>
      </c>
      <c r="F483" s="50" t="s">
        <v>1803</v>
      </c>
      <c r="G483" s="52" t="s">
        <v>1804</v>
      </c>
      <c r="H483" s="50" t="n">
        <v>0</v>
      </c>
      <c r="I483" s="50"/>
      <c r="K483" s="50"/>
    </row>
    <row r="484" customFormat="false" ht="15" hidden="false" customHeight="false" outlineLevel="0" collapsed="false">
      <c r="A484" s="50" t="s">
        <v>1805</v>
      </c>
      <c r="B484" s="50" t="s">
        <v>1806</v>
      </c>
      <c r="C484" s="50" t="s">
        <v>95</v>
      </c>
      <c r="D484" s="50" t="n">
        <v>2</v>
      </c>
      <c r="E484" s="50" t="s">
        <v>96</v>
      </c>
      <c r="F484" s="50" t="s">
        <v>1807</v>
      </c>
      <c r="G484" s="52" t="s">
        <v>1808</v>
      </c>
      <c r="H484" s="50" t="n">
        <v>0</v>
      </c>
      <c r="I484" s="50"/>
      <c r="K484" s="50"/>
    </row>
    <row r="485" customFormat="false" ht="15" hidden="false" customHeight="false" outlineLevel="0" collapsed="false">
      <c r="A485" s="50" t="s">
        <v>1809</v>
      </c>
      <c r="B485" s="50" t="s">
        <v>1810</v>
      </c>
      <c r="C485" s="50" t="s">
        <v>95</v>
      </c>
      <c r="D485" s="50" t="n">
        <v>20</v>
      </c>
      <c r="E485" s="50" t="s">
        <v>113</v>
      </c>
      <c r="F485" s="50" t="s">
        <v>1811</v>
      </c>
      <c r="G485" s="52" t="s">
        <v>1812</v>
      </c>
      <c r="H485" s="50" t="n">
        <v>0</v>
      </c>
      <c r="I485" s="50"/>
      <c r="K485" s="50"/>
    </row>
    <row r="486" customFormat="false" ht="15" hidden="false" customHeight="false" outlineLevel="0" collapsed="false">
      <c r="A486" s="50" t="s">
        <v>1813</v>
      </c>
      <c r="B486" s="50" t="s">
        <v>1814</v>
      </c>
      <c r="C486" s="50" t="s">
        <v>95</v>
      </c>
      <c r="D486" s="50" t="n">
        <v>20</v>
      </c>
      <c r="E486" s="50" t="s">
        <v>113</v>
      </c>
      <c r="F486" s="50" t="s">
        <v>1815</v>
      </c>
      <c r="G486" s="52" t="s">
        <v>1816</v>
      </c>
      <c r="H486" s="50" t="n">
        <v>0</v>
      </c>
      <c r="I486" s="50"/>
      <c r="K486" s="50"/>
    </row>
    <row r="487" customFormat="false" ht="15" hidden="false" customHeight="false" outlineLevel="0" collapsed="false">
      <c r="A487" s="50" t="s">
        <v>1817</v>
      </c>
      <c r="B487" s="50" t="s">
        <v>1818</v>
      </c>
      <c r="C487" s="50" t="s">
        <v>95</v>
      </c>
      <c r="D487" s="50" t="n">
        <v>2</v>
      </c>
      <c r="E487" s="50" t="s">
        <v>96</v>
      </c>
      <c r="F487" s="50" t="s">
        <v>1819</v>
      </c>
      <c r="G487" s="52" t="s">
        <v>1820</v>
      </c>
      <c r="H487" s="50" t="n">
        <v>0</v>
      </c>
      <c r="I487" s="50"/>
      <c r="K487" s="50"/>
    </row>
    <row r="488" customFormat="false" ht="15" hidden="false" customHeight="false" outlineLevel="0" collapsed="false">
      <c r="A488" s="50" t="s">
        <v>1821</v>
      </c>
      <c r="B488" s="50" t="s">
        <v>1822</v>
      </c>
      <c r="C488" s="50" t="s">
        <v>95</v>
      </c>
      <c r="D488" s="50" t="n">
        <v>2</v>
      </c>
      <c r="E488" s="50" t="s">
        <v>96</v>
      </c>
      <c r="F488" s="50" t="s">
        <v>1823</v>
      </c>
      <c r="G488" s="52" t="s">
        <v>1824</v>
      </c>
      <c r="H488" s="50" t="n">
        <v>0</v>
      </c>
      <c r="I488" s="50"/>
      <c r="K488" s="50"/>
    </row>
    <row r="489" customFormat="false" ht="15" hidden="false" customHeight="false" outlineLevel="0" collapsed="false">
      <c r="A489" s="50" t="s">
        <v>1825</v>
      </c>
      <c r="B489" s="50" t="s">
        <v>1826</v>
      </c>
      <c r="C489" s="50" t="s">
        <v>95</v>
      </c>
      <c r="D489" s="50" t="n">
        <v>2</v>
      </c>
      <c r="E489" s="50" t="s">
        <v>96</v>
      </c>
      <c r="F489" s="50" t="s">
        <v>1827</v>
      </c>
      <c r="G489" s="52" t="s">
        <v>1828</v>
      </c>
      <c r="H489" s="50" t="n">
        <v>0</v>
      </c>
      <c r="I489" s="50"/>
      <c r="K489" s="50"/>
    </row>
    <row r="490" customFormat="false" ht="15" hidden="false" customHeight="false" outlineLevel="0" collapsed="false">
      <c r="A490" s="50" t="s">
        <v>1829</v>
      </c>
      <c r="B490" s="50" t="s">
        <v>1830</v>
      </c>
      <c r="C490" s="50" t="s">
        <v>95</v>
      </c>
      <c r="D490" s="50" t="n">
        <v>2</v>
      </c>
      <c r="E490" s="50" t="s">
        <v>96</v>
      </c>
      <c r="F490" s="50" t="s">
        <v>1831</v>
      </c>
      <c r="G490" s="52" t="s">
        <v>1832</v>
      </c>
      <c r="H490" s="50" t="n">
        <v>0</v>
      </c>
      <c r="I490" s="50"/>
      <c r="K490" s="50"/>
    </row>
    <row r="491" customFormat="false" ht="15" hidden="false" customHeight="false" outlineLevel="0" collapsed="false">
      <c r="A491" s="50" t="s">
        <v>1833</v>
      </c>
      <c r="B491" s="50" t="s">
        <v>1834</v>
      </c>
      <c r="C491" s="50" t="s">
        <v>95</v>
      </c>
      <c r="D491" s="50" t="n">
        <v>2</v>
      </c>
      <c r="E491" s="50" t="s">
        <v>96</v>
      </c>
      <c r="F491" s="50" t="s">
        <v>1835</v>
      </c>
      <c r="G491" s="52" t="s">
        <v>1828</v>
      </c>
      <c r="H491" s="50" t="n">
        <v>0</v>
      </c>
      <c r="I491" s="50"/>
      <c r="K491" s="50"/>
    </row>
    <row r="492" customFormat="false" ht="15" hidden="false" customHeight="false" outlineLevel="0" collapsed="false">
      <c r="A492" s="50" t="s">
        <v>1836</v>
      </c>
      <c r="B492" s="50" t="s">
        <v>1837</v>
      </c>
      <c r="C492" s="50" t="s">
        <v>95</v>
      </c>
      <c r="D492" s="50" t="n">
        <v>20</v>
      </c>
      <c r="E492" s="50" t="s">
        <v>113</v>
      </c>
      <c r="F492" s="50" t="s">
        <v>1838</v>
      </c>
      <c r="G492" s="52" t="s">
        <v>1839</v>
      </c>
      <c r="H492" s="50" t="n">
        <v>0</v>
      </c>
      <c r="I492" s="50"/>
      <c r="K492" s="50"/>
    </row>
    <row r="493" customFormat="false" ht="15" hidden="false" customHeight="false" outlineLevel="0" collapsed="false">
      <c r="A493" s="50" t="s">
        <v>1840</v>
      </c>
      <c r="B493" s="50" t="s">
        <v>1841</v>
      </c>
      <c r="C493" s="50" t="s">
        <v>95</v>
      </c>
      <c r="D493" s="50" t="n">
        <v>2</v>
      </c>
      <c r="E493" s="50" t="s">
        <v>96</v>
      </c>
      <c r="F493" s="50" t="s">
        <v>1842</v>
      </c>
      <c r="G493" s="52" t="s">
        <v>1843</v>
      </c>
      <c r="H493" s="50" t="n">
        <v>0</v>
      </c>
      <c r="I493" s="50"/>
      <c r="K493" s="50"/>
    </row>
    <row r="494" customFormat="false" ht="15" hidden="false" customHeight="false" outlineLevel="0" collapsed="false">
      <c r="A494" s="50" t="s">
        <v>1844</v>
      </c>
      <c r="B494" s="50" t="s">
        <v>1845</v>
      </c>
      <c r="C494" s="50" t="s">
        <v>95</v>
      </c>
      <c r="D494" s="50" t="n">
        <v>2</v>
      </c>
      <c r="E494" s="50" t="s">
        <v>96</v>
      </c>
      <c r="F494" s="50" t="s">
        <v>1846</v>
      </c>
      <c r="G494" s="52" t="s">
        <v>521</v>
      </c>
      <c r="H494" s="50" t="n">
        <v>0</v>
      </c>
      <c r="I494" s="50"/>
      <c r="K494" s="50"/>
    </row>
    <row r="495" customFormat="false" ht="15" hidden="false" customHeight="false" outlineLevel="0" collapsed="false">
      <c r="A495" s="50" t="s">
        <v>1847</v>
      </c>
      <c r="B495" s="50" t="s">
        <v>1848</v>
      </c>
      <c r="C495" s="50" t="s">
        <v>95</v>
      </c>
      <c r="D495" s="50" t="n">
        <v>2</v>
      </c>
      <c r="E495" s="50" t="s">
        <v>96</v>
      </c>
      <c r="F495" s="50" t="s">
        <v>1849</v>
      </c>
      <c r="G495" s="52" t="s">
        <v>1850</v>
      </c>
      <c r="H495" s="50" t="n">
        <v>0</v>
      </c>
      <c r="I495" s="50"/>
      <c r="K495" s="50"/>
    </row>
    <row r="496" customFormat="false" ht="15" hidden="false" customHeight="false" outlineLevel="0" collapsed="false">
      <c r="A496" s="50" t="s">
        <v>1851</v>
      </c>
      <c r="B496" s="50" t="s">
        <v>1852</v>
      </c>
      <c r="C496" s="50" t="s">
        <v>95</v>
      </c>
      <c r="D496" s="50" t="n">
        <v>2</v>
      </c>
      <c r="E496" s="50" t="s">
        <v>96</v>
      </c>
      <c r="F496" s="50" t="s">
        <v>1853</v>
      </c>
      <c r="G496" s="52" t="s">
        <v>521</v>
      </c>
      <c r="H496" s="50" t="n">
        <v>0</v>
      </c>
      <c r="I496" s="50"/>
      <c r="K496" s="50"/>
    </row>
    <row r="497" customFormat="false" ht="15" hidden="false" customHeight="false" outlineLevel="0" collapsed="false">
      <c r="A497" s="50" t="s">
        <v>1854</v>
      </c>
      <c r="B497" s="50" t="s">
        <v>1855</v>
      </c>
      <c r="C497" s="50" t="s">
        <v>95</v>
      </c>
      <c r="D497" s="50" t="n">
        <v>2</v>
      </c>
      <c r="E497" s="50" t="s">
        <v>96</v>
      </c>
      <c r="F497" s="50" t="s">
        <v>1856</v>
      </c>
      <c r="G497" s="52" t="s">
        <v>1857</v>
      </c>
      <c r="H497" s="50" t="n">
        <v>4</v>
      </c>
      <c r="I497" s="50"/>
      <c r="K497" s="50"/>
    </row>
    <row r="498" customFormat="false" ht="15" hidden="false" customHeight="false" outlineLevel="0" collapsed="false">
      <c r="A498" s="50" t="s">
        <v>1858</v>
      </c>
      <c r="B498" s="50" t="s">
        <v>1859</v>
      </c>
      <c r="C498" s="50" t="s">
        <v>95</v>
      </c>
      <c r="D498" s="50" t="n">
        <v>2</v>
      </c>
      <c r="E498" s="50" t="s">
        <v>96</v>
      </c>
      <c r="F498" s="50" t="s">
        <v>1860</v>
      </c>
      <c r="G498" s="52" t="s">
        <v>1857</v>
      </c>
      <c r="H498" s="50" t="n">
        <v>4</v>
      </c>
      <c r="I498" s="50"/>
      <c r="K498" s="50"/>
    </row>
    <row r="499" customFormat="false" ht="15" hidden="false" customHeight="false" outlineLevel="0" collapsed="false">
      <c r="A499" s="50" t="s">
        <v>1861</v>
      </c>
      <c r="B499" s="50" t="s">
        <v>1862</v>
      </c>
      <c r="C499" s="50" t="s">
        <v>95</v>
      </c>
      <c r="D499" s="50" t="n">
        <v>2</v>
      </c>
      <c r="E499" s="50" t="s">
        <v>96</v>
      </c>
      <c r="F499" s="50" t="s">
        <v>1863</v>
      </c>
      <c r="G499" s="52" t="s">
        <v>1864</v>
      </c>
      <c r="H499" s="50" t="n">
        <v>0</v>
      </c>
      <c r="I499" s="50"/>
      <c r="K499" s="50"/>
    </row>
    <row r="500" customFormat="false" ht="15" hidden="false" customHeight="false" outlineLevel="0" collapsed="false">
      <c r="A500" s="50" t="s">
        <v>1865</v>
      </c>
      <c r="B500" s="50" t="s">
        <v>1866</v>
      </c>
      <c r="C500" s="50" t="s">
        <v>95</v>
      </c>
      <c r="D500" s="50" t="n">
        <v>2</v>
      </c>
      <c r="E500" s="50" t="s">
        <v>96</v>
      </c>
      <c r="F500" s="50" t="s">
        <v>1867</v>
      </c>
      <c r="G500" s="52" t="s">
        <v>1868</v>
      </c>
      <c r="H500" s="50" t="n">
        <v>0</v>
      </c>
      <c r="I500" s="50"/>
      <c r="K500" s="50"/>
    </row>
    <row r="501" customFormat="false" ht="15" hidden="false" customHeight="false" outlineLevel="0" collapsed="false">
      <c r="A501" s="50" t="s">
        <v>1869</v>
      </c>
      <c r="B501" s="50" t="s">
        <v>1870</v>
      </c>
      <c r="C501" s="50" t="s">
        <v>95</v>
      </c>
      <c r="D501" s="50" t="n">
        <v>2</v>
      </c>
      <c r="E501" s="50" t="s">
        <v>96</v>
      </c>
      <c r="F501" s="50" t="s">
        <v>1871</v>
      </c>
      <c r="G501" s="52" t="s">
        <v>1868</v>
      </c>
      <c r="H501" s="50" t="n">
        <v>0</v>
      </c>
      <c r="I501" s="50"/>
      <c r="K501" s="50"/>
    </row>
    <row r="502" customFormat="false" ht="15" hidden="false" customHeight="false" outlineLevel="0" collapsed="false">
      <c r="A502" s="50" t="s">
        <v>1872</v>
      </c>
      <c r="B502" s="50" t="s">
        <v>1873</v>
      </c>
      <c r="C502" s="50" t="s">
        <v>95</v>
      </c>
      <c r="D502" s="50" t="n">
        <v>20</v>
      </c>
      <c r="E502" s="50" t="s">
        <v>113</v>
      </c>
      <c r="F502" s="50" t="s">
        <v>1874</v>
      </c>
      <c r="G502" s="52" t="s">
        <v>1789</v>
      </c>
      <c r="H502" s="50" t="n">
        <v>0</v>
      </c>
      <c r="I502" s="50"/>
      <c r="K502" s="50"/>
    </row>
    <row r="503" customFormat="false" ht="15" hidden="false" customHeight="false" outlineLevel="0" collapsed="false">
      <c r="A503" s="50" t="s">
        <v>1875</v>
      </c>
      <c r="B503" s="50" t="s">
        <v>1876</v>
      </c>
      <c r="C503" s="50" t="s">
        <v>95</v>
      </c>
      <c r="D503" s="50" t="n">
        <v>20</v>
      </c>
      <c r="E503" s="50" t="s">
        <v>113</v>
      </c>
      <c r="F503" s="50" t="s">
        <v>1877</v>
      </c>
      <c r="G503" s="52" t="s">
        <v>1878</v>
      </c>
      <c r="H503" s="50" t="n">
        <v>0</v>
      </c>
      <c r="I503" s="50"/>
      <c r="K503" s="50"/>
    </row>
    <row r="504" customFormat="false" ht="15" hidden="false" customHeight="false" outlineLevel="0" collapsed="false">
      <c r="A504" s="50" t="s">
        <v>1879</v>
      </c>
      <c r="B504" s="50" t="s">
        <v>1880</v>
      </c>
      <c r="C504" s="50" t="s">
        <v>95</v>
      </c>
      <c r="D504" s="50" t="n">
        <v>20</v>
      </c>
      <c r="E504" s="50" t="s">
        <v>113</v>
      </c>
      <c r="F504" s="50" t="s">
        <v>1881</v>
      </c>
      <c r="G504" s="52" t="s">
        <v>1878</v>
      </c>
      <c r="H504" s="50" t="n">
        <v>0</v>
      </c>
      <c r="I504" s="50"/>
      <c r="K504" s="50"/>
    </row>
    <row r="505" customFormat="false" ht="15" hidden="false" customHeight="false" outlineLevel="0" collapsed="false">
      <c r="A505" s="50" t="s">
        <v>1882</v>
      </c>
      <c r="B505" s="50" t="s">
        <v>1883</v>
      </c>
      <c r="C505" s="50" t="s">
        <v>95</v>
      </c>
      <c r="D505" s="50" t="n">
        <v>20</v>
      </c>
      <c r="E505" s="50" t="s">
        <v>113</v>
      </c>
      <c r="F505" s="50" t="s">
        <v>1884</v>
      </c>
      <c r="G505" s="52" t="s">
        <v>300</v>
      </c>
      <c r="H505" s="50" t="n">
        <v>0</v>
      </c>
      <c r="I505" s="50"/>
      <c r="K505" s="50"/>
    </row>
    <row r="506" customFormat="false" ht="15" hidden="false" customHeight="false" outlineLevel="0" collapsed="false">
      <c r="A506" s="50" t="s">
        <v>1885</v>
      </c>
      <c r="B506" s="50" t="s">
        <v>1886</v>
      </c>
      <c r="C506" s="50" t="s">
        <v>95</v>
      </c>
      <c r="D506" s="50" t="n">
        <v>2</v>
      </c>
      <c r="E506" s="50" t="s">
        <v>96</v>
      </c>
      <c r="F506" s="50" t="s">
        <v>1887</v>
      </c>
      <c r="G506" s="52" t="s">
        <v>1888</v>
      </c>
      <c r="H506" s="50" t="n">
        <v>1</v>
      </c>
      <c r="I506" s="50"/>
      <c r="K506" s="50"/>
    </row>
    <row r="507" customFormat="false" ht="15" hidden="false" customHeight="false" outlineLevel="0" collapsed="false">
      <c r="A507" s="50" t="s">
        <v>1889</v>
      </c>
      <c r="B507" s="50" t="s">
        <v>1890</v>
      </c>
      <c r="C507" s="50" t="s">
        <v>95</v>
      </c>
      <c r="D507" s="50" t="n">
        <v>20</v>
      </c>
      <c r="E507" s="50" t="s">
        <v>113</v>
      </c>
      <c r="F507" s="50" t="s">
        <v>1891</v>
      </c>
      <c r="G507" s="52" t="s">
        <v>1892</v>
      </c>
      <c r="H507" s="50" t="n">
        <v>0</v>
      </c>
      <c r="I507" s="50"/>
      <c r="K507" s="50"/>
    </row>
    <row r="508" customFormat="false" ht="15" hidden="false" customHeight="false" outlineLevel="0" collapsed="false">
      <c r="A508" s="50" t="s">
        <v>1893</v>
      </c>
      <c r="B508" s="50" t="s">
        <v>1894</v>
      </c>
      <c r="C508" s="50" t="s">
        <v>95</v>
      </c>
      <c r="D508" s="50" t="n">
        <v>20</v>
      </c>
      <c r="E508" s="50" t="s">
        <v>113</v>
      </c>
      <c r="F508" s="50" t="s">
        <v>1895</v>
      </c>
      <c r="G508" s="52" t="s">
        <v>1896</v>
      </c>
      <c r="H508" s="50" t="n">
        <v>0</v>
      </c>
      <c r="I508" s="50"/>
      <c r="K508" s="50"/>
    </row>
    <row r="509" customFormat="false" ht="15" hidden="false" customHeight="false" outlineLevel="0" collapsed="false">
      <c r="A509" s="50" t="s">
        <v>1897</v>
      </c>
      <c r="B509" s="50" t="s">
        <v>1898</v>
      </c>
      <c r="C509" s="50" t="s">
        <v>95</v>
      </c>
      <c r="D509" s="50" t="n">
        <v>20</v>
      </c>
      <c r="E509" s="50" t="s">
        <v>113</v>
      </c>
      <c r="F509" s="50" t="s">
        <v>1899</v>
      </c>
      <c r="G509" s="52" t="s">
        <v>1900</v>
      </c>
      <c r="H509" s="50" t="n">
        <v>0</v>
      </c>
      <c r="I509" s="50"/>
      <c r="K509" s="50"/>
    </row>
    <row r="510" customFormat="false" ht="15" hidden="false" customHeight="false" outlineLevel="0" collapsed="false">
      <c r="A510" s="50" t="s">
        <v>1901</v>
      </c>
      <c r="B510" s="50" t="s">
        <v>1902</v>
      </c>
      <c r="C510" s="50" t="s">
        <v>95</v>
      </c>
      <c r="D510" s="50" t="n">
        <v>20</v>
      </c>
      <c r="E510" s="50" t="s">
        <v>113</v>
      </c>
      <c r="F510" s="50" t="s">
        <v>1903</v>
      </c>
      <c r="G510" s="52" t="s">
        <v>1904</v>
      </c>
      <c r="H510" s="50" t="n">
        <v>0</v>
      </c>
      <c r="I510" s="50"/>
      <c r="K510" s="50"/>
    </row>
    <row r="511" customFormat="false" ht="15" hidden="false" customHeight="false" outlineLevel="0" collapsed="false">
      <c r="A511" s="50" t="s">
        <v>1905</v>
      </c>
      <c r="B511" s="50" t="s">
        <v>1906</v>
      </c>
      <c r="C511" s="50" t="s">
        <v>95</v>
      </c>
      <c r="D511" s="50" t="n">
        <v>20</v>
      </c>
      <c r="E511" s="50" t="s">
        <v>113</v>
      </c>
      <c r="F511" s="50" t="s">
        <v>1907</v>
      </c>
      <c r="G511" s="52" t="s">
        <v>1904</v>
      </c>
      <c r="H511" s="50" t="n">
        <v>0</v>
      </c>
      <c r="I511" s="50"/>
      <c r="K511" s="50"/>
    </row>
    <row r="512" customFormat="false" ht="15" hidden="false" customHeight="false" outlineLevel="0" collapsed="false">
      <c r="A512" s="50" t="s">
        <v>1908</v>
      </c>
      <c r="B512" s="50" t="s">
        <v>1909</v>
      </c>
      <c r="C512" s="50" t="s">
        <v>95</v>
      </c>
      <c r="D512" s="50" t="n">
        <v>20</v>
      </c>
      <c r="E512" s="50" t="s">
        <v>113</v>
      </c>
      <c r="F512" s="50" t="s">
        <v>1910</v>
      </c>
      <c r="G512" s="52" t="s">
        <v>1911</v>
      </c>
      <c r="H512" s="50" t="n">
        <v>0</v>
      </c>
      <c r="I512" s="50"/>
      <c r="K512" s="50"/>
    </row>
    <row r="513" customFormat="false" ht="15" hidden="false" customHeight="false" outlineLevel="0" collapsed="false">
      <c r="A513" s="50" t="s">
        <v>1912</v>
      </c>
      <c r="B513" s="50" t="s">
        <v>1913</v>
      </c>
      <c r="C513" s="50" t="s">
        <v>95</v>
      </c>
      <c r="D513" s="50" t="n">
        <v>20</v>
      </c>
      <c r="E513" s="50" t="s">
        <v>113</v>
      </c>
      <c r="F513" s="50" t="s">
        <v>1914</v>
      </c>
      <c r="G513" s="52" t="s">
        <v>1915</v>
      </c>
      <c r="H513" s="50" t="n">
        <v>0</v>
      </c>
      <c r="I513" s="50"/>
      <c r="K513" s="50"/>
    </row>
    <row r="514" customFormat="false" ht="15" hidden="false" customHeight="false" outlineLevel="0" collapsed="false">
      <c r="A514" s="50" t="s">
        <v>1916</v>
      </c>
      <c r="B514" s="50" t="s">
        <v>1917</v>
      </c>
      <c r="C514" s="50" t="s">
        <v>95</v>
      </c>
      <c r="D514" s="50" t="n">
        <v>20</v>
      </c>
      <c r="E514" s="50" t="s">
        <v>113</v>
      </c>
      <c r="F514" s="50" t="s">
        <v>1918</v>
      </c>
      <c r="G514" s="52" t="s">
        <v>1911</v>
      </c>
      <c r="H514" s="50" t="n">
        <v>0</v>
      </c>
      <c r="I514" s="50"/>
      <c r="K514" s="50"/>
    </row>
    <row r="515" customFormat="false" ht="15" hidden="false" customHeight="false" outlineLevel="0" collapsed="false">
      <c r="A515" s="50" t="s">
        <v>1919</v>
      </c>
      <c r="B515" s="50" t="s">
        <v>1920</v>
      </c>
      <c r="C515" s="50" t="s">
        <v>95</v>
      </c>
      <c r="D515" s="50" t="n">
        <v>20</v>
      </c>
      <c r="E515" s="50" t="s">
        <v>113</v>
      </c>
      <c r="F515" s="50" t="s">
        <v>1921</v>
      </c>
      <c r="G515" s="52" t="s">
        <v>1922</v>
      </c>
      <c r="H515" s="50" t="n">
        <v>0</v>
      </c>
      <c r="I515" s="50"/>
      <c r="K515" s="50"/>
    </row>
    <row r="516" customFormat="false" ht="15" hidden="false" customHeight="false" outlineLevel="0" collapsed="false">
      <c r="A516" s="50" t="s">
        <v>1923</v>
      </c>
      <c r="B516" s="50" t="s">
        <v>1924</v>
      </c>
      <c r="C516" s="50" t="s">
        <v>95</v>
      </c>
      <c r="D516" s="50" t="n">
        <v>20</v>
      </c>
      <c r="E516" s="50" t="s">
        <v>113</v>
      </c>
      <c r="F516" s="50" t="s">
        <v>1925</v>
      </c>
      <c r="G516" s="52" t="s">
        <v>1926</v>
      </c>
      <c r="H516" s="50" t="n">
        <v>0</v>
      </c>
      <c r="I516" s="50"/>
      <c r="K516" s="50"/>
    </row>
    <row r="517" customFormat="false" ht="15" hidden="false" customHeight="false" outlineLevel="0" collapsed="false">
      <c r="A517" s="50" t="s">
        <v>1927</v>
      </c>
      <c r="B517" s="50" t="s">
        <v>1928</v>
      </c>
      <c r="C517" s="50" t="s">
        <v>95</v>
      </c>
      <c r="D517" s="50" t="n">
        <v>20</v>
      </c>
      <c r="E517" s="50" t="s">
        <v>113</v>
      </c>
      <c r="F517" s="50" t="s">
        <v>1929</v>
      </c>
      <c r="G517" s="52" t="s">
        <v>1930</v>
      </c>
      <c r="H517" s="50" t="n">
        <v>0</v>
      </c>
      <c r="I517" s="50"/>
      <c r="K517" s="50"/>
    </row>
    <row r="518" customFormat="false" ht="15" hidden="false" customHeight="false" outlineLevel="0" collapsed="false">
      <c r="A518" s="50" t="s">
        <v>1931</v>
      </c>
      <c r="B518" s="50" t="s">
        <v>1932</v>
      </c>
      <c r="C518" s="50" t="s">
        <v>95</v>
      </c>
      <c r="D518" s="50" t="n">
        <v>20</v>
      </c>
      <c r="E518" s="50" t="s">
        <v>113</v>
      </c>
      <c r="F518" s="50" t="s">
        <v>1933</v>
      </c>
      <c r="G518" s="52" t="s">
        <v>1934</v>
      </c>
      <c r="H518" s="50" t="n">
        <v>0</v>
      </c>
      <c r="I518" s="50"/>
      <c r="K518" s="50"/>
    </row>
    <row r="519" customFormat="false" ht="15" hidden="false" customHeight="false" outlineLevel="0" collapsed="false">
      <c r="A519" s="50" t="s">
        <v>1935</v>
      </c>
      <c r="B519" s="50" t="s">
        <v>1936</v>
      </c>
      <c r="C519" s="50" t="s">
        <v>95</v>
      </c>
      <c r="D519" s="50" t="n">
        <v>20</v>
      </c>
      <c r="E519" s="50" t="s">
        <v>113</v>
      </c>
      <c r="F519" s="50" t="s">
        <v>1937</v>
      </c>
      <c r="G519" s="52" t="s">
        <v>1934</v>
      </c>
      <c r="H519" s="50" t="n">
        <v>0</v>
      </c>
      <c r="I519" s="50"/>
      <c r="K519" s="50"/>
    </row>
    <row r="520" customFormat="false" ht="15" hidden="false" customHeight="false" outlineLevel="0" collapsed="false">
      <c r="A520" s="50" t="s">
        <v>1938</v>
      </c>
      <c r="B520" s="50" t="s">
        <v>1939</v>
      </c>
      <c r="C520" s="50" t="s">
        <v>95</v>
      </c>
      <c r="D520" s="50" t="n">
        <v>20</v>
      </c>
      <c r="E520" s="50" t="s">
        <v>113</v>
      </c>
      <c r="F520" s="50" t="s">
        <v>1940</v>
      </c>
      <c r="G520" s="52" t="s">
        <v>626</v>
      </c>
      <c r="H520" s="50" t="n">
        <v>0</v>
      </c>
      <c r="I520" s="50"/>
      <c r="K520" s="50"/>
    </row>
    <row r="521" customFormat="false" ht="15" hidden="false" customHeight="false" outlineLevel="0" collapsed="false">
      <c r="A521" s="50" t="s">
        <v>1941</v>
      </c>
      <c r="B521" s="50" t="s">
        <v>1942</v>
      </c>
      <c r="C521" s="50" t="s">
        <v>95</v>
      </c>
      <c r="D521" s="50" t="n">
        <v>20</v>
      </c>
      <c r="E521" s="50" t="s">
        <v>113</v>
      </c>
      <c r="F521" s="50" t="s">
        <v>1943</v>
      </c>
      <c r="G521" s="52" t="s">
        <v>1944</v>
      </c>
      <c r="H521" s="50" t="n">
        <v>0</v>
      </c>
      <c r="I521" s="50"/>
      <c r="K521" s="50"/>
    </row>
    <row r="522" customFormat="false" ht="15" hidden="false" customHeight="false" outlineLevel="0" collapsed="false">
      <c r="A522" s="50" t="s">
        <v>1945</v>
      </c>
      <c r="B522" s="50" t="s">
        <v>1946</v>
      </c>
      <c r="C522" s="50" t="s">
        <v>95</v>
      </c>
      <c r="D522" s="50" t="n">
        <v>20</v>
      </c>
      <c r="E522" s="50" t="s">
        <v>113</v>
      </c>
      <c r="F522" s="50" t="s">
        <v>1947</v>
      </c>
      <c r="G522" s="52" t="s">
        <v>1915</v>
      </c>
      <c r="H522" s="50" t="n">
        <v>0</v>
      </c>
      <c r="I522" s="50"/>
      <c r="K522" s="50"/>
    </row>
    <row r="523" customFormat="false" ht="15" hidden="false" customHeight="false" outlineLevel="0" collapsed="false">
      <c r="A523" s="50" t="s">
        <v>1948</v>
      </c>
      <c r="B523" s="50" t="s">
        <v>1949</v>
      </c>
      <c r="C523" s="50" t="s">
        <v>95</v>
      </c>
      <c r="D523" s="50" t="n">
        <v>20</v>
      </c>
      <c r="E523" s="50" t="s">
        <v>113</v>
      </c>
      <c r="F523" s="50" t="s">
        <v>1950</v>
      </c>
      <c r="G523" s="52" t="s">
        <v>1930</v>
      </c>
      <c r="H523" s="50" t="n">
        <v>0</v>
      </c>
      <c r="I523" s="50"/>
      <c r="K523" s="50"/>
    </row>
    <row r="524" customFormat="false" ht="15" hidden="false" customHeight="false" outlineLevel="0" collapsed="false">
      <c r="A524" s="50" t="s">
        <v>1951</v>
      </c>
      <c r="B524" s="50" t="s">
        <v>1952</v>
      </c>
      <c r="C524" s="50" t="s">
        <v>95</v>
      </c>
      <c r="D524" s="50" t="n">
        <v>20</v>
      </c>
      <c r="E524" s="50" t="s">
        <v>113</v>
      </c>
      <c r="F524" s="50" t="s">
        <v>1953</v>
      </c>
      <c r="G524" s="52" t="s">
        <v>1944</v>
      </c>
      <c r="H524" s="50" t="n">
        <v>0</v>
      </c>
      <c r="I524" s="50"/>
      <c r="K524" s="50"/>
    </row>
    <row r="525" customFormat="false" ht="15" hidden="false" customHeight="false" outlineLevel="0" collapsed="false">
      <c r="A525" s="50" t="s">
        <v>1954</v>
      </c>
      <c r="B525" s="50" t="s">
        <v>1955</v>
      </c>
      <c r="C525" s="50" t="s">
        <v>95</v>
      </c>
      <c r="D525" s="50" t="n">
        <v>20</v>
      </c>
      <c r="E525" s="50" t="s">
        <v>113</v>
      </c>
      <c r="F525" s="50" t="s">
        <v>1956</v>
      </c>
      <c r="G525" s="52" t="s">
        <v>1900</v>
      </c>
      <c r="H525" s="50" t="n">
        <v>0</v>
      </c>
      <c r="I525" s="50"/>
      <c r="K525" s="50"/>
    </row>
    <row r="526" customFormat="false" ht="15" hidden="false" customHeight="false" outlineLevel="0" collapsed="false">
      <c r="A526" s="50" t="s">
        <v>1957</v>
      </c>
      <c r="B526" s="50" t="s">
        <v>1958</v>
      </c>
      <c r="C526" s="50" t="s">
        <v>95</v>
      </c>
      <c r="D526" s="50" t="n">
        <v>20</v>
      </c>
      <c r="E526" s="50" t="s">
        <v>113</v>
      </c>
      <c r="F526" s="50" t="s">
        <v>1959</v>
      </c>
      <c r="G526" s="52" t="s">
        <v>1911</v>
      </c>
      <c r="H526" s="50" t="n">
        <v>0</v>
      </c>
      <c r="I526" s="50"/>
      <c r="K526" s="50"/>
    </row>
    <row r="527" customFormat="false" ht="15" hidden="false" customHeight="false" outlineLevel="0" collapsed="false">
      <c r="A527" s="50" t="s">
        <v>1960</v>
      </c>
      <c r="B527" s="50" t="s">
        <v>1961</v>
      </c>
      <c r="C527" s="50" t="s">
        <v>95</v>
      </c>
      <c r="D527" s="50" t="n">
        <v>20</v>
      </c>
      <c r="E527" s="50" t="s">
        <v>113</v>
      </c>
      <c r="F527" s="50" t="s">
        <v>1962</v>
      </c>
      <c r="G527" s="52" t="s">
        <v>1963</v>
      </c>
      <c r="H527" s="50" t="n">
        <v>0</v>
      </c>
      <c r="I527" s="50"/>
      <c r="K527" s="50"/>
    </row>
    <row r="528" customFormat="false" ht="15" hidden="false" customHeight="false" outlineLevel="0" collapsed="false">
      <c r="A528" s="50" t="s">
        <v>1964</v>
      </c>
      <c r="B528" s="50" t="s">
        <v>1965</v>
      </c>
      <c r="C528" s="50" t="s">
        <v>95</v>
      </c>
      <c r="D528" s="50" t="n">
        <v>20</v>
      </c>
      <c r="E528" s="50" t="s">
        <v>113</v>
      </c>
      <c r="F528" s="50" t="s">
        <v>1966</v>
      </c>
      <c r="G528" s="52" t="s">
        <v>1900</v>
      </c>
      <c r="H528" s="50" t="n">
        <v>0</v>
      </c>
      <c r="I528" s="50"/>
      <c r="K528" s="50"/>
    </row>
    <row r="529" customFormat="false" ht="15" hidden="false" customHeight="false" outlineLevel="0" collapsed="false">
      <c r="A529" s="50" t="s">
        <v>1967</v>
      </c>
      <c r="B529" s="50" t="s">
        <v>1968</v>
      </c>
      <c r="C529" s="50" t="s">
        <v>95</v>
      </c>
      <c r="D529" s="50" t="n">
        <v>20</v>
      </c>
      <c r="E529" s="50" t="s">
        <v>113</v>
      </c>
      <c r="F529" s="50" t="s">
        <v>1969</v>
      </c>
      <c r="G529" s="52" t="s">
        <v>1911</v>
      </c>
      <c r="H529" s="50" t="n">
        <v>0</v>
      </c>
      <c r="I529" s="50"/>
      <c r="K529" s="50"/>
    </row>
    <row r="530" customFormat="false" ht="15" hidden="false" customHeight="false" outlineLevel="0" collapsed="false">
      <c r="A530" s="50" t="s">
        <v>1970</v>
      </c>
      <c r="B530" s="50" t="s">
        <v>1971</v>
      </c>
      <c r="C530" s="50" t="s">
        <v>95</v>
      </c>
      <c r="D530" s="50" t="n">
        <v>20</v>
      </c>
      <c r="E530" s="50" t="s">
        <v>113</v>
      </c>
      <c r="F530" s="50" t="s">
        <v>1972</v>
      </c>
      <c r="G530" s="52" t="s">
        <v>1911</v>
      </c>
      <c r="H530" s="50" t="n">
        <v>0</v>
      </c>
      <c r="I530" s="50"/>
      <c r="K530" s="50"/>
    </row>
    <row r="531" customFormat="false" ht="15" hidden="false" customHeight="false" outlineLevel="0" collapsed="false">
      <c r="A531" s="50" t="s">
        <v>1973</v>
      </c>
      <c r="B531" s="50" t="s">
        <v>1974</v>
      </c>
      <c r="C531" s="50" t="s">
        <v>95</v>
      </c>
      <c r="D531" s="50" t="n">
        <v>20</v>
      </c>
      <c r="E531" s="50" t="s">
        <v>113</v>
      </c>
      <c r="F531" s="50" t="s">
        <v>1975</v>
      </c>
      <c r="G531" s="52" t="s">
        <v>1900</v>
      </c>
      <c r="H531" s="50" t="n">
        <v>0</v>
      </c>
      <c r="I531" s="50"/>
      <c r="K531" s="50"/>
    </row>
    <row r="532" customFormat="false" ht="15" hidden="false" customHeight="false" outlineLevel="0" collapsed="false">
      <c r="A532" s="50" t="s">
        <v>1976</v>
      </c>
      <c r="B532" s="50" t="s">
        <v>1977</v>
      </c>
      <c r="C532" s="50" t="s">
        <v>95</v>
      </c>
      <c r="D532" s="50" t="n">
        <v>20</v>
      </c>
      <c r="E532" s="50" t="s">
        <v>113</v>
      </c>
      <c r="F532" s="50" t="s">
        <v>1978</v>
      </c>
      <c r="G532" s="52" t="s">
        <v>1930</v>
      </c>
      <c r="H532" s="50" t="n">
        <v>0</v>
      </c>
      <c r="I532" s="50"/>
      <c r="K532" s="50"/>
    </row>
    <row r="533" customFormat="false" ht="15" hidden="false" customHeight="false" outlineLevel="0" collapsed="false">
      <c r="A533" s="50" t="s">
        <v>1979</v>
      </c>
      <c r="B533" s="50" t="s">
        <v>1980</v>
      </c>
      <c r="C533" s="50" t="s">
        <v>95</v>
      </c>
      <c r="D533" s="50" t="n">
        <v>20</v>
      </c>
      <c r="E533" s="50" t="s">
        <v>113</v>
      </c>
      <c r="F533" s="50" t="s">
        <v>1981</v>
      </c>
      <c r="G533" s="52" t="s">
        <v>1930</v>
      </c>
      <c r="H533" s="50" t="n">
        <v>0</v>
      </c>
      <c r="I533" s="50"/>
      <c r="K533" s="50"/>
    </row>
    <row r="534" customFormat="false" ht="15" hidden="false" customHeight="false" outlineLevel="0" collapsed="false">
      <c r="A534" s="50" t="s">
        <v>1982</v>
      </c>
      <c r="B534" s="50" t="s">
        <v>1983</v>
      </c>
      <c r="C534" s="50" t="s">
        <v>95</v>
      </c>
      <c r="D534" s="50" t="n">
        <v>20</v>
      </c>
      <c r="E534" s="50" t="s">
        <v>113</v>
      </c>
      <c r="F534" s="50" t="s">
        <v>1984</v>
      </c>
      <c r="G534" s="52" t="s">
        <v>1985</v>
      </c>
      <c r="H534" s="50" t="n">
        <v>0</v>
      </c>
      <c r="I534" s="50"/>
      <c r="K534" s="50"/>
    </row>
    <row r="535" customFormat="false" ht="15" hidden="false" customHeight="false" outlineLevel="0" collapsed="false">
      <c r="A535" s="50" t="s">
        <v>1986</v>
      </c>
      <c r="B535" s="50" t="s">
        <v>1987</v>
      </c>
      <c r="C535" s="50" t="s">
        <v>95</v>
      </c>
      <c r="D535" s="50" t="n">
        <v>20</v>
      </c>
      <c r="E535" s="50" t="s">
        <v>113</v>
      </c>
      <c r="F535" s="50" t="s">
        <v>1988</v>
      </c>
      <c r="G535" s="52" t="s">
        <v>1985</v>
      </c>
      <c r="H535" s="50" t="n">
        <v>0</v>
      </c>
      <c r="I535" s="50"/>
      <c r="K535" s="50"/>
    </row>
    <row r="536" customFormat="false" ht="15" hidden="false" customHeight="false" outlineLevel="0" collapsed="false">
      <c r="A536" s="50" t="s">
        <v>1989</v>
      </c>
      <c r="B536" s="50" t="s">
        <v>1990</v>
      </c>
      <c r="C536" s="50" t="s">
        <v>95</v>
      </c>
      <c r="D536" s="50" t="n">
        <v>20</v>
      </c>
      <c r="E536" s="50" t="s">
        <v>113</v>
      </c>
      <c r="F536" s="50" t="s">
        <v>1991</v>
      </c>
      <c r="G536" s="52" t="s">
        <v>1985</v>
      </c>
      <c r="H536" s="50" t="n">
        <v>0</v>
      </c>
      <c r="I536" s="50"/>
      <c r="K536" s="50"/>
    </row>
    <row r="537" customFormat="false" ht="15" hidden="false" customHeight="false" outlineLevel="0" collapsed="false">
      <c r="A537" s="50" t="s">
        <v>1992</v>
      </c>
      <c r="B537" s="50" t="s">
        <v>1993</v>
      </c>
      <c r="C537" s="50" t="s">
        <v>95</v>
      </c>
      <c r="D537" s="50" t="n">
        <v>20</v>
      </c>
      <c r="E537" s="50" t="s">
        <v>113</v>
      </c>
      <c r="F537" s="50" t="s">
        <v>1994</v>
      </c>
      <c r="G537" s="52" t="s">
        <v>1985</v>
      </c>
      <c r="H537" s="50" t="n">
        <v>0</v>
      </c>
      <c r="I537" s="50"/>
      <c r="K537" s="50"/>
    </row>
    <row r="538" customFormat="false" ht="15" hidden="false" customHeight="false" outlineLevel="0" collapsed="false">
      <c r="A538" s="50" t="s">
        <v>1995</v>
      </c>
      <c r="B538" s="50" t="s">
        <v>1996</v>
      </c>
      <c r="C538" s="50" t="s">
        <v>95</v>
      </c>
      <c r="D538" s="50" t="n">
        <v>20</v>
      </c>
      <c r="E538" s="50" t="s">
        <v>113</v>
      </c>
      <c r="F538" s="50" t="s">
        <v>1997</v>
      </c>
      <c r="G538" s="52" t="s">
        <v>1985</v>
      </c>
      <c r="H538" s="50" t="n">
        <v>0</v>
      </c>
      <c r="I538" s="50"/>
      <c r="K538" s="50"/>
    </row>
    <row r="539" customFormat="false" ht="15" hidden="false" customHeight="false" outlineLevel="0" collapsed="false">
      <c r="A539" s="50" t="s">
        <v>1998</v>
      </c>
      <c r="B539" s="50" t="s">
        <v>1999</v>
      </c>
      <c r="C539" s="50" t="s">
        <v>95</v>
      </c>
      <c r="D539" s="50" t="n">
        <v>2</v>
      </c>
      <c r="E539" s="50" t="s">
        <v>96</v>
      </c>
      <c r="F539" s="50" t="s">
        <v>2000</v>
      </c>
      <c r="G539" s="52" t="s">
        <v>2001</v>
      </c>
      <c r="H539" s="50" t="n">
        <v>0</v>
      </c>
      <c r="I539" s="50"/>
      <c r="K539" s="50"/>
    </row>
    <row r="540" customFormat="false" ht="15" hidden="false" customHeight="false" outlineLevel="0" collapsed="false">
      <c r="A540" s="50" t="s">
        <v>2002</v>
      </c>
      <c r="B540" s="50" t="s">
        <v>2003</v>
      </c>
      <c r="C540" s="50" t="s">
        <v>95</v>
      </c>
      <c r="D540" s="50" t="n">
        <v>2</v>
      </c>
      <c r="E540" s="50" t="s">
        <v>96</v>
      </c>
      <c r="F540" s="50" t="s">
        <v>2004</v>
      </c>
      <c r="G540" s="52" t="s">
        <v>2005</v>
      </c>
      <c r="H540" s="50" t="n">
        <v>0</v>
      </c>
      <c r="I540" s="50"/>
      <c r="K540" s="50"/>
    </row>
    <row r="541" customFormat="false" ht="15" hidden="false" customHeight="false" outlineLevel="0" collapsed="false">
      <c r="A541" s="50" t="s">
        <v>2006</v>
      </c>
      <c r="B541" s="50" t="s">
        <v>2007</v>
      </c>
      <c r="C541" s="50" t="s">
        <v>95</v>
      </c>
      <c r="D541" s="50" t="n">
        <v>2</v>
      </c>
      <c r="E541" s="50" t="s">
        <v>96</v>
      </c>
      <c r="F541" s="50" t="s">
        <v>2008</v>
      </c>
      <c r="G541" s="52" t="s">
        <v>2009</v>
      </c>
      <c r="H541" s="50" t="n">
        <v>0</v>
      </c>
      <c r="I541" s="50"/>
      <c r="K541" s="50"/>
    </row>
    <row r="542" customFormat="false" ht="15" hidden="false" customHeight="false" outlineLevel="0" collapsed="false">
      <c r="A542" s="50" t="s">
        <v>2010</v>
      </c>
      <c r="B542" s="50" t="s">
        <v>2011</v>
      </c>
      <c r="C542" s="50" t="s">
        <v>95</v>
      </c>
      <c r="D542" s="50" t="n">
        <v>2</v>
      </c>
      <c r="E542" s="50" t="s">
        <v>96</v>
      </c>
      <c r="F542" s="50" t="s">
        <v>2012</v>
      </c>
      <c r="G542" s="52" t="s">
        <v>2013</v>
      </c>
      <c r="H542" s="50" t="n">
        <v>0</v>
      </c>
      <c r="I542" s="50"/>
      <c r="K542" s="50"/>
    </row>
    <row r="543" customFormat="false" ht="15" hidden="false" customHeight="false" outlineLevel="0" collapsed="false">
      <c r="A543" s="50" t="s">
        <v>2014</v>
      </c>
      <c r="B543" s="50" t="s">
        <v>2015</v>
      </c>
      <c r="C543" s="50" t="s">
        <v>95</v>
      </c>
      <c r="D543" s="50" t="n">
        <v>2</v>
      </c>
      <c r="E543" s="50" t="s">
        <v>96</v>
      </c>
      <c r="F543" s="50" t="s">
        <v>2016</v>
      </c>
      <c r="G543" s="52" t="s">
        <v>2017</v>
      </c>
      <c r="H543" s="50" t="n">
        <v>0</v>
      </c>
      <c r="I543" s="50"/>
      <c r="K543" s="50"/>
    </row>
    <row r="544" customFormat="false" ht="15" hidden="false" customHeight="false" outlineLevel="0" collapsed="false">
      <c r="A544" s="50" t="s">
        <v>2018</v>
      </c>
      <c r="B544" s="50" t="s">
        <v>2019</v>
      </c>
      <c r="C544" s="50" t="s">
        <v>95</v>
      </c>
      <c r="D544" s="50" t="n">
        <v>2</v>
      </c>
      <c r="E544" s="50" t="s">
        <v>96</v>
      </c>
      <c r="F544" s="50" t="s">
        <v>2020</v>
      </c>
      <c r="G544" s="52" t="s">
        <v>2021</v>
      </c>
      <c r="H544" s="50" t="n">
        <v>0</v>
      </c>
      <c r="I544" s="50"/>
      <c r="K544" s="50"/>
    </row>
    <row r="545" customFormat="false" ht="15" hidden="false" customHeight="false" outlineLevel="0" collapsed="false">
      <c r="A545" s="50" t="s">
        <v>2022</v>
      </c>
      <c r="B545" s="50" t="s">
        <v>2023</v>
      </c>
      <c r="C545" s="50" t="s">
        <v>95</v>
      </c>
      <c r="D545" s="50" t="n">
        <v>2</v>
      </c>
      <c r="E545" s="50" t="s">
        <v>96</v>
      </c>
      <c r="F545" s="50" t="s">
        <v>2024</v>
      </c>
      <c r="G545" s="52" t="s">
        <v>2025</v>
      </c>
      <c r="H545" s="50" t="n">
        <v>0</v>
      </c>
      <c r="I545" s="50"/>
      <c r="K545" s="50"/>
    </row>
    <row r="546" customFormat="false" ht="15" hidden="false" customHeight="false" outlineLevel="0" collapsed="false">
      <c r="A546" s="50" t="s">
        <v>2026</v>
      </c>
      <c r="B546" s="50" t="s">
        <v>2027</v>
      </c>
      <c r="C546" s="50" t="s">
        <v>95</v>
      </c>
      <c r="D546" s="50" t="n">
        <v>2</v>
      </c>
      <c r="E546" s="50" t="s">
        <v>96</v>
      </c>
      <c r="F546" s="50" t="s">
        <v>2028</v>
      </c>
      <c r="G546" s="52" t="s">
        <v>2009</v>
      </c>
      <c r="H546" s="50" t="n">
        <v>0</v>
      </c>
      <c r="I546" s="50"/>
      <c r="K546" s="50"/>
    </row>
    <row r="547" customFormat="false" ht="15" hidden="false" customHeight="false" outlineLevel="0" collapsed="false">
      <c r="A547" s="50" t="s">
        <v>2029</v>
      </c>
      <c r="B547" s="50" t="s">
        <v>2030</v>
      </c>
      <c r="C547" s="50" t="s">
        <v>95</v>
      </c>
      <c r="D547" s="50" t="n">
        <v>2</v>
      </c>
      <c r="E547" s="50" t="s">
        <v>96</v>
      </c>
      <c r="F547" s="50" t="s">
        <v>2031</v>
      </c>
      <c r="G547" s="52" t="s">
        <v>1824</v>
      </c>
      <c r="H547" s="50" t="n">
        <v>0</v>
      </c>
      <c r="I547" s="50"/>
      <c r="K547" s="50"/>
    </row>
    <row r="548" customFormat="false" ht="15" hidden="false" customHeight="false" outlineLevel="0" collapsed="false">
      <c r="A548" s="50" t="s">
        <v>2032</v>
      </c>
      <c r="B548" s="50" t="s">
        <v>2033</v>
      </c>
      <c r="C548" s="50" t="s">
        <v>95</v>
      </c>
      <c r="D548" s="50" t="n">
        <v>2</v>
      </c>
      <c r="E548" s="50" t="s">
        <v>96</v>
      </c>
      <c r="F548" s="50" t="s">
        <v>2034</v>
      </c>
      <c r="G548" s="52" t="s">
        <v>1824</v>
      </c>
      <c r="H548" s="50" t="n">
        <v>0</v>
      </c>
      <c r="I548" s="50"/>
      <c r="K548" s="50"/>
    </row>
    <row r="549" customFormat="false" ht="15" hidden="false" customHeight="false" outlineLevel="0" collapsed="false">
      <c r="A549" s="50" t="s">
        <v>2035</v>
      </c>
      <c r="B549" s="50" t="s">
        <v>2036</v>
      </c>
      <c r="C549" s="50" t="s">
        <v>95</v>
      </c>
      <c r="D549" s="50" t="n">
        <v>2</v>
      </c>
      <c r="E549" s="50" t="s">
        <v>96</v>
      </c>
      <c r="F549" s="50" t="s">
        <v>2037</v>
      </c>
      <c r="G549" s="52" t="s">
        <v>1020</v>
      </c>
      <c r="H549" s="50" t="n">
        <v>0</v>
      </c>
      <c r="I549" s="50"/>
      <c r="K549" s="50"/>
    </row>
    <row r="550" customFormat="false" ht="15" hidden="false" customHeight="false" outlineLevel="0" collapsed="false">
      <c r="A550" s="50" t="s">
        <v>2038</v>
      </c>
      <c r="B550" s="50" t="s">
        <v>2039</v>
      </c>
      <c r="C550" s="50" t="s">
        <v>95</v>
      </c>
      <c r="D550" s="50" t="n">
        <v>2</v>
      </c>
      <c r="E550" s="50" t="s">
        <v>96</v>
      </c>
      <c r="F550" s="50" t="s">
        <v>2040</v>
      </c>
      <c r="G550" s="52" t="s">
        <v>2041</v>
      </c>
      <c r="H550" s="50" t="n">
        <v>0</v>
      </c>
      <c r="I550" s="50"/>
      <c r="K550" s="50"/>
    </row>
    <row r="551" customFormat="false" ht="15" hidden="false" customHeight="false" outlineLevel="0" collapsed="false">
      <c r="A551" s="50" t="s">
        <v>2042</v>
      </c>
      <c r="B551" s="50" t="s">
        <v>2043</v>
      </c>
      <c r="C551" s="50" t="s">
        <v>95</v>
      </c>
      <c r="D551" s="50" t="n">
        <v>2</v>
      </c>
      <c r="E551" s="50" t="s">
        <v>96</v>
      </c>
      <c r="F551" s="50" t="s">
        <v>2044</v>
      </c>
      <c r="G551" s="52" t="s">
        <v>2045</v>
      </c>
      <c r="H551" s="50" t="n">
        <v>0</v>
      </c>
      <c r="I551" s="50"/>
      <c r="K551" s="50"/>
    </row>
    <row r="552" customFormat="false" ht="15" hidden="false" customHeight="false" outlineLevel="0" collapsed="false">
      <c r="A552" s="50" t="s">
        <v>2046</v>
      </c>
      <c r="B552" s="50" t="s">
        <v>2047</v>
      </c>
      <c r="C552" s="50" t="s">
        <v>95</v>
      </c>
      <c r="D552" s="50" t="n">
        <v>2</v>
      </c>
      <c r="E552" s="50" t="s">
        <v>96</v>
      </c>
      <c r="F552" s="50" t="s">
        <v>2048</v>
      </c>
      <c r="G552" s="52" t="s">
        <v>2049</v>
      </c>
      <c r="H552" s="50" t="n">
        <v>0</v>
      </c>
      <c r="I552" s="50"/>
      <c r="K552" s="50"/>
    </row>
    <row r="553" customFormat="false" ht="15" hidden="false" customHeight="false" outlineLevel="0" collapsed="false">
      <c r="A553" s="50" t="s">
        <v>2050</v>
      </c>
      <c r="B553" s="50" t="s">
        <v>2051</v>
      </c>
      <c r="C553" s="50" t="s">
        <v>95</v>
      </c>
      <c r="D553" s="50" t="n">
        <v>2</v>
      </c>
      <c r="E553" s="50" t="s">
        <v>96</v>
      </c>
      <c r="F553" s="50" t="s">
        <v>2052</v>
      </c>
      <c r="G553" s="52" t="s">
        <v>2053</v>
      </c>
      <c r="H553" s="50" t="n">
        <v>0</v>
      </c>
      <c r="I553" s="50"/>
      <c r="K553" s="50"/>
    </row>
    <row r="554" customFormat="false" ht="15" hidden="false" customHeight="false" outlineLevel="0" collapsed="false">
      <c r="A554" s="50" t="s">
        <v>2054</v>
      </c>
      <c r="B554" s="50" t="s">
        <v>2055</v>
      </c>
      <c r="C554" s="50" t="s">
        <v>95</v>
      </c>
      <c r="D554" s="50" t="n">
        <v>2</v>
      </c>
      <c r="E554" s="50" t="s">
        <v>96</v>
      </c>
      <c r="F554" s="50" t="s">
        <v>2056</v>
      </c>
      <c r="G554" s="52" t="s">
        <v>2057</v>
      </c>
      <c r="H554" s="50" t="n">
        <v>0</v>
      </c>
      <c r="I554" s="50"/>
      <c r="K554" s="50"/>
    </row>
    <row r="555" customFormat="false" ht="15" hidden="false" customHeight="false" outlineLevel="0" collapsed="false">
      <c r="A555" s="50" t="s">
        <v>2058</v>
      </c>
      <c r="B555" s="50" t="s">
        <v>2059</v>
      </c>
      <c r="C555" s="50" t="s">
        <v>95</v>
      </c>
      <c r="D555" s="50" t="n">
        <v>2</v>
      </c>
      <c r="E555" s="50" t="s">
        <v>96</v>
      </c>
      <c r="F555" s="50" t="s">
        <v>2060</v>
      </c>
      <c r="G555" s="52" t="s">
        <v>2061</v>
      </c>
      <c r="H555" s="50" t="n">
        <v>0</v>
      </c>
      <c r="I555" s="50"/>
      <c r="K555" s="50"/>
    </row>
    <row r="556" customFormat="false" ht="15" hidden="false" customHeight="false" outlineLevel="0" collapsed="false">
      <c r="A556" s="50" t="s">
        <v>2062</v>
      </c>
      <c r="B556" s="50" t="s">
        <v>2063</v>
      </c>
      <c r="C556" s="50" t="s">
        <v>95</v>
      </c>
      <c r="D556" s="50" t="n">
        <v>2</v>
      </c>
      <c r="E556" s="50" t="s">
        <v>96</v>
      </c>
      <c r="F556" s="50" t="s">
        <v>2064</v>
      </c>
      <c r="G556" s="52" t="s">
        <v>2065</v>
      </c>
      <c r="H556" s="50" t="n">
        <v>0</v>
      </c>
      <c r="I556" s="50"/>
      <c r="K556" s="50"/>
    </row>
    <row r="557" customFormat="false" ht="15" hidden="false" customHeight="false" outlineLevel="0" collapsed="false">
      <c r="A557" s="50" t="s">
        <v>2066</v>
      </c>
      <c r="B557" s="50" t="s">
        <v>2067</v>
      </c>
      <c r="C557" s="50" t="s">
        <v>95</v>
      </c>
      <c r="D557" s="50" t="n">
        <v>2</v>
      </c>
      <c r="E557" s="50" t="s">
        <v>96</v>
      </c>
      <c r="F557" s="50" t="s">
        <v>2068</v>
      </c>
      <c r="G557" s="52" t="s">
        <v>2069</v>
      </c>
      <c r="H557" s="50" t="n">
        <v>0</v>
      </c>
      <c r="I557" s="50"/>
      <c r="K557" s="50"/>
    </row>
    <row r="558" customFormat="false" ht="15" hidden="false" customHeight="false" outlineLevel="0" collapsed="false">
      <c r="A558" s="50" t="s">
        <v>2070</v>
      </c>
      <c r="B558" s="50" t="s">
        <v>2071</v>
      </c>
      <c r="C558" s="50" t="s">
        <v>95</v>
      </c>
      <c r="D558" s="50" t="n">
        <v>2</v>
      </c>
      <c r="E558" s="50" t="s">
        <v>96</v>
      </c>
      <c r="F558" s="50" t="s">
        <v>2072</v>
      </c>
      <c r="G558" s="52" t="s">
        <v>2073</v>
      </c>
      <c r="H558" s="50" t="n">
        <v>0</v>
      </c>
      <c r="I558" s="50"/>
      <c r="K558" s="50"/>
    </row>
    <row r="559" customFormat="false" ht="15" hidden="false" customHeight="false" outlineLevel="0" collapsed="false">
      <c r="A559" s="50" t="s">
        <v>2074</v>
      </c>
      <c r="B559" s="50" t="s">
        <v>2075</v>
      </c>
      <c r="C559" s="50" t="s">
        <v>95</v>
      </c>
      <c r="D559" s="50" t="n">
        <v>2</v>
      </c>
      <c r="E559" s="50" t="s">
        <v>96</v>
      </c>
      <c r="F559" s="50" t="s">
        <v>2076</v>
      </c>
      <c r="G559" s="52" t="s">
        <v>2077</v>
      </c>
      <c r="H559" s="50" t="n">
        <v>0</v>
      </c>
      <c r="I559" s="50"/>
      <c r="K559" s="50"/>
    </row>
    <row r="560" customFormat="false" ht="15" hidden="false" customHeight="false" outlineLevel="0" collapsed="false">
      <c r="A560" s="50" t="s">
        <v>2078</v>
      </c>
      <c r="B560" s="50" t="s">
        <v>2079</v>
      </c>
      <c r="C560" s="50" t="s">
        <v>95</v>
      </c>
      <c r="D560" s="50" t="n">
        <v>20</v>
      </c>
      <c r="E560" s="50" t="s">
        <v>113</v>
      </c>
      <c r="F560" s="50" t="s">
        <v>2080</v>
      </c>
      <c r="G560" s="52" t="s">
        <v>2081</v>
      </c>
      <c r="H560" s="50" t="n">
        <v>0</v>
      </c>
      <c r="I560" s="50"/>
      <c r="K560" s="50"/>
    </row>
    <row r="561" customFormat="false" ht="15" hidden="false" customHeight="false" outlineLevel="0" collapsed="false">
      <c r="A561" s="50" t="s">
        <v>2082</v>
      </c>
      <c r="B561" s="50" t="s">
        <v>2083</v>
      </c>
      <c r="C561" s="50" t="s">
        <v>95</v>
      </c>
      <c r="D561" s="50" t="n">
        <v>20</v>
      </c>
      <c r="E561" s="50" t="s">
        <v>113</v>
      </c>
      <c r="F561" s="50" t="s">
        <v>2084</v>
      </c>
      <c r="G561" s="52" t="s">
        <v>2085</v>
      </c>
      <c r="H561" s="50" t="n">
        <v>0</v>
      </c>
      <c r="I561" s="50"/>
      <c r="K561" s="50"/>
    </row>
    <row r="562" customFormat="false" ht="15" hidden="false" customHeight="false" outlineLevel="0" collapsed="false">
      <c r="A562" s="50" t="s">
        <v>2086</v>
      </c>
      <c r="B562" s="50" t="s">
        <v>2087</v>
      </c>
      <c r="C562" s="50" t="s">
        <v>95</v>
      </c>
      <c r="D562" s="50" t="n">
        <v>20</v>
      </c>
      <c r="E562" s="50" t="s">
        <v>113</v>
      </c>
      <c r="F562" s="50" t="s">
        <v>2088</v>
      </c>
      <c r="G562" s="52" t="s">
        <v>2089</v>
      </c>
      <c r="H562" s="50" t="n">
        <v>0</v>
      </c>
      <c r="I562" s="50"/>
      <c r="K562" s="50"/>
    </row>
    <row r="563" customFormat="false" ht="15" hidden="false" customHeight="false" outlineLevel="0" collapsed="false">
      <c r="A563" s="50" t="s">
        <v>2090</v>
      </c>
      <c r="B563" s="50" t="s">
        <v>2091</v>
      </c>
      <c r="C563" s="50" t="s">
        <v>95</v>
      </c>
      <c r="D563" s="50" t="n">
        <v>20</v>
      </c>
      <c r="E563" s="50" t="s">
        <v>113</v>
      </c>
      <c r="F563" s="50" t="s">
        <v>2092</v>
      </c>
      <c r="G563" s="52" t="s">
        <v>235</v>
      </c>
      <c r="H563" s="50" t="n">
        <v>0</v>
      </c>
      <c r="I563" s="50"/>
      <c r="K563" s="50"/>
    </row>
    <row r="564" customFormat="false" ht="15" hidden="false" customHeight="false" outlineLevel="0" collapsed="false">
      <c r="A564" s="50" t="s">
        <v>2093</v>
      </c>
      <c r="B564" s="50" t="s">
        <v>2094</v>
      </c>
      <c r="C564" s="50" t="s">
        <v>95</v>
      </c>
      <c r="D564" s="50" t="n">
        <v>20</v>
      </c>
      <c r="E564" s="50" t="s">
        <v>113</v>
      </c>
      <c r="F564" s="50" t="s">
        <v>2095</v>
      </c>
      <c r="G564" s="52" t="s">
        <v>2096</v>
      </c>
      <c r="H564" s="50" t="n">
        <v>0</v>
      </c>
      <c r="I564" s="50"/>
      <c r="K564" s="50"/>
    </row>
    <row r="565" customFormat="false" ht="15" hidden="false" customHeight="false" outlineLevel="0" collapsed="false">
      <c r="A565" s="50" t="s">
        <v>2097</v>
      </c>
      <c r="B565" s="50" t="s">
        <v>2098</v>
      </c>
      <c r="C565" s="50" t="s">
        <v>95</v>
      </c>
      <c r="D565" s="50" t="n">
        <v>2</v>
      </c>
      <c r="E565" s="50" t="s">
        <v>96</v>
      </c>
      <c r="F565" s="50" t="s">
        <v>2099</v>
      </c>
      <c r="G565" s="52" t="s">
        <v>2100</v>
      </c>
      <c r="H565" s="50" t="n">
        <v>30</v>
      </c>
      <c r="I565" s="50"/>
      <c r="K565" s="50"/>
    </row>
    <row r="566" customFormat="false" ht="15" hidden="false" customHeight="false" outlineLevel="0" collapsed="false">
      <c r="A566" s="50" t="s">
        <v>2101</v>
      </c>
      <c r="B566" s="50" t="s">
        <v>2102</v>
      </c>
      <c r="C566" s="50" t="s">
        <v>95</v>
      </c>
      <c r="D566" s="50" t="n">
        <v>2</v>
      </c>
      <c r="E566" s="50" t="s">
        <v>96</v>
      </c>
      <c r="F566" s="50" t="s">
        <v>2103</v>
      </c>
      <c r="G566" s="52" t="s">
        <v>2104</v>
      </c>
      <c r="H566" s="50" t="n">
        <v>100</v>
      </c>
      <c r="I566" s="50"/>
      <c r="K566" s="50"/>
    </row>
    <row r="567" customFormat="false" ht="15" hidden="false" customHeight="false" outlineLevel="0" collapsed="false">
      <c r="A567" s="50" t="s">
        <v>2105</v>
      </c>
      <c r="B567" s="50" t="s">
        <v>2106</v>
      </c>
      <c r="C567" s="50" t="s">
        <v>95</v>
      </c>
      <c r="D567" s="50" t="n">
        <v>2</v>
      </c>
      <c r="E567" s="50" t="s">
        <v>96</v>
      </c>
      <c r="F567" s="50" t="s">
        <v>2107</v>
      </c>
      <c r="G567" s="52" t="s">
        <v>2108</v>
      </c>
      <c r="H567" s="50" t="n">
        <v>1</v>
      </c>
      <c r="I567" s="50"/>
      <c r="K567" s="50"/>
    </row>
    <row r="568" customFormat="false" ht="15" hidden="false" customHeight="false" outlineLevel="0" collapsed="false">
      <c r="A568" s="50" t="s">
        <v>2109</v>
      </c>
      <c r="B568" s="50" t="s">
        <v>2110</v>
      </c>
      <c r="C568" s="50" t="s">
        <v>95</v>
      </c>
      <c r="D568" s="50" t="n">
        <v>2</v>
      </c>
      <c r="E568" s="50" t="s">
        <v>96</v>
      </c>
      <c r="F568" s="50" t="s">
        <v>2111</v>
      </c>
      <c r="G568" s="52" t="s">
        <v>2112</v>
      </c>
      <c r="H568" s="50" t="n">
        <v>1</v>
      </c>
      <c r="I568" s="50"/>
      <c r="K568" s="50"/>
    </row>
    <row r="569" customFormat="false" ht="15" hidden="false" customHeight="false" outlineLevel="0" collapsed="false">
      <c r="A569" s="50" t="s">
        <v>2113</v>
      </c>
      <c r="B569" s="50" t="s">
        <v>2114</v>
      </c>
      <c r="C569" s="50" t="s">
        <v>95</v>
      </c>
      <c r="D569" s="50" t="n">
        <v>2</v>
      </c>
      <c r="E569" s="50" t="s">
        <v>96</v>
      </c>
      <c r="F569" s="50" t="s">
        <v>2115</v>
      </c>
      <c r="G569" s="52" t="s">
        <v>414</v>
      </c>
      <c r="H569" s="50" t="n">
        <v>10</v>
      </c>
      <c r="I569" s="50"/>
      <c r="K569" s="50"/>
    </row>
    <row r="570" customFormat="false" ht="15" hidden="false" customHeight="false" outlineLevel="0" collapsed="false">
      <c r="A570" s="50" t="s">
        <v>2116</v>
      </c>
      <c r="B570" s="50" t="s">
        <v>2117</v>
      </c>
      <c r="C570" s="50" t="s">
        <v>95</v>
      </c>
      <c r="D570" s="50" t="n">
        <v>2</v>
      </c>
      <c r="E570" s="50" t="s">
        <v>96</v>
      </c>
      <c r="F570" s="50" t="s">
        <v>2118</v>
      </c>
      <c r="G570" s="52" t="s">
        <v>414</v>
      </c>
      <c r="H570" s="50" t="n">
        <v>10</v>
      </c>
      <c r="I570" s="50"/>
      <c r="K570" s="50"/>
    </row>
    <row r="571" customFormat="false" ht="15" hidden="false" customHeight="false" outlineLevel="0" collapsed="false">
      <c r="A571" s="50" t="s">
        <v>2119</v>
      </c>
      <c r="B571" s="50" t="s">
        <v>2120</v>
      </c>
      <c r="C571" s="50" t="s">
        <v>95</v>
      </c>
      <c r="D571" s="50" t="n">
        <v>2</v>
      </c>
      <c r="E571" s="50" t="s">
        <v>96</v>
      </c>
      <c r="F571" s="50" t="s">
        <v>2121</v>
      </c>
      <c r="G571" s="52" t="s">
        <v>2122</v>
      </c>
      <c r="H571" s="50" t="n">
        <v>10</v>
      </c>
      <c r="I571" s="50"/>
      <c r="K571" s="50"/>
    </row>
    <row r="572" customFormat="false" ht="15" hidden="false" customHeight="false" outlineLevel="0" collapsed="false">
      <c r="A572" s="50" t="s">
        <v>2123</v>
      </c>
      <c r="B572" s="50" t="s">
        <v>2124</v>
      </c>
      <c r="C572" s="50" t="s">
        <v>95</v>
      </c>
      <c r="D572" s="50" t="n">
        <v>2</v>
      </c>
      <c r="E572" s="50" t="s">
        <v>96</v>
      </c>
      <c r="F572" s="50" t="s">
        <v>2125</v>
      </c>
      <c r="G572" s="52" t="s">
        <v>1458</v>
      </c>
      <c r="H572" s="50" t="n">
        <v>5</v>
      </c>
      <c r="I572" s="50"/>
      <c r="K572" s="50"/>
    </row>
    <row r="573" customFormat="false" ht="15" hidden="false" customHeight="false" outlineLevel="0" collapsed="false">
      <c r="A573" s="50" t="s">
        <v>2126</v>
      </c>
      <c r="B573" s="50" t="s">
        <v>2127</v>
      </c>
      <c r="C573" s="50" t="s">
        <v>95</v>
      </c>
      <c r="D573" s="50" t="n">
        <v>2</v>
      </c>
      <c r="E573" s="50" t="s">
        <v>96</v>
      </c>
      <c r="F573" s="50" t="s">
        <v>2128</v>
      </c>
      <c r="G573" s="52" t="s">
        <v>2129</v>
      </c>
      <c r="H573" s="50" t="n">
        <v>5</v>
      </c>
      <c r="I573" s="50"/>
      <c r="K573" s="50"/>
    </row>
    <row r="574" customFormat="false" ht="15" hidden="false" customHeight="false" outlineLevel="0" collapsed="false">
      <c r="A574" s="50" t="s">
        <v>2130</v>
      </c>
      <c r="B574" s="50" t="s">
        <v>2131</v>
      </c>
      <c r="C574" s="50" t="s">
        <v>95</v>
      </c>
      <c r="D574" s="50" t="n">
        <v>2</v>
      </c>
      <c r="E574" s="50" t="s">
        <v>96</v>
      </c>
      <c r="F574" s="50" t="s">
        <v>2132</v>
      </c>
      <c r="G574" s="52" t="s">
        <v>2133</v>
      </c>
      <c r="H574" s="50" t="n">
        <v>2</v>
      </c>
      <c r="I574" s="50"/>
      <c r="K574" s="50"/>
    </row>
    <row r="575" customFormat="false" ht="15" hidden="false" customHeight="false" outlineLevel="0" collapsed="false">
      <c r="A575" s="50" t="s">
        <v>2134</v>
      </c>
      <c r="B575" s="50" t="s">
        <v>2135</v>
      </c>
      <c r="C575" s="50" t="s">
        <v>95</v>
      </c>
      <c r="D575" s="50" t="n">
        <v>2</v>
      </c>
      <c r="E575" s="50" t="s">
        <v>96</v>
      </c>
      <c r="F575" s="50" t="s">
        <v>2136</v>
      </c>
      <c r="G575" s="52" t="s">
        <v>2137</v>
      </c>
      <c r="H575" s="50" t="n">
        <v>50</v>
      </c>
      <c r="I575" s="50"/>
      <c r="K575" s="50"/>
    </row>
    <row r="576" customFormat="false" ht="15" hidden="false" customHeight="false" outlineLevel="0" collapsed="false">
      <c r="A576" s="50" t="s">
        <v>2138</v>
      </c>
      <c r="B576" s="50" t="s">
        <v>2139</v>
      </c>
      <c r="C576" s="50" t="s">
        <v>95</v>
      </c>
      <c r="D576" s="50" t="n">
        <v>2</v>
      </c>
      <c r="E576" s="50" t="s">
        <v>96</v>
      </c>
      <c r="F576" s="50" t="s">
        <v>2140</v>
      </c>
      <c r="G576" s="52" t="s">
        <v>2141</v>
      </c>
      <c r="H576" s="50" t="n">
        <v>60</v>
      </c>
      <c r="I576" s="50"/>
      <c r="K576" s="50"/>
    </row>
    <row r="577" customFormat="false" ht="15" hidden="false" customHeight="false" outlineLevel="0" collapsed="false">
      <c r="A577" s="50" t="s">
        <v>2142</v>
      </c>
      <c r="B577" s="50" t="s">
        <v>2143</v>
      </c>
      <c r="C577" s="50" t="s">
        <v>95</v>
      </c>
      <c r="D577" s="50" t="n">
        <v>2</v>
      </c>
      <c r="E577" s="50" t="s">
        <v>96</v>
      </c>
      <c r="F577" s="50" t="s">
        <v>2144</v>
      </c>
      <c r="G577" s="52" t="s">
        <v>425</v>
      </c>
      <c r="H577" s="50" t="n">
        <v>30</v>
      </c>
      <c r="I577" s="50"/>
      <c r="K577" s="50"/>
    </row>
    <row r="578" customFormat="false" ht="15" hidden="false" customHeight="false" outlineLevel="0" collapsed="false">
      <c r="A578" s="50" t="s">
        <v>2145</v>
      </c>
      <c r="B578" s="50" t="s">
        <v>2146</v>
      </c>
      <c r="C578" s="50" t="s">
        <v>95</v>
      </c>
      <c r="D578" s="50" t="n">
        <v>2</v>
      </c>
      <c r="E578" s="50" t="s">
        <v>96</v>
      </c>
      <c r="F578" s="50" t="s">
        <v>2147</v>
      </c>
      <c r="G578" s="52" t="s">
        <v>2148</v>
      </c>
      <c r="H578" s="50" t="n">
        <v>0</v>
      </c>
      <c r="I578" s="50"/>
      <c r="K578" s="50"/>
    </row>
    <row r="579" customFormat="false" ht="15" hidden="false" customHeight="false" outlineLevel="0" collapsed="false">
      <c r="A579" s="50" t="s">
        <v>2149</v>
      </c>
      <c r="B579" s="50" t="s">
        <v>2150</v>
      </c>
      <c r="C579" s="50" t="s">
        <v>95</v>
      </c>
      <c r="D579" s="50" t="n">
        <v>2</v>
      </c>
      <c r="E579" s="50" t="s">
        <v>96</v>
      </c>
      <c r="F579" s="50" t="s">
        <v>2151</v>
      </c>
      <c r="G579" s="52" t="s">
        <v>2152</v>
      </c>
      <c r="H579" s="50" t="n">
        <v>30</v>
      </c>
      <c r="I579" s="50"/>
      <c r="K579" s="50"/>
    </row>
    <row r="580" customFormat="false" ht="15" hidden="false" customHeight="false" outlineLevel="0" collapsed="false">
      <c r="A580" s="50" t="s">
        <v>2153</v>
      </c>
      <c r="B580" s="50" t="s">
        <v>2154</v>
      </c>
      <c r="C580" s="50" t="s">
        <v>95</v>
      </c>
      <c r="D580" s="50" t="n">
        <v>2</v>
      </c>
      <c r="E580" s="50" t="s">
        <v>96</v>
      </c>
      <c r="F580" s="50" t="s">
        <v>2155</v>
      </c>
      <c r="G580" s="52" t="s">
        <v>2156</v>
      </c>
      <c r="H580" s="50" t="n">
        <v>13</v>
      </c>
      <c r="I580" s="50"/>
      <c r="K580" s="50"/>
    </row>
    <row r="581" customFormat="false" ht="15" hidden="false" customHeight="false" outlineLevel="0" collapsed="false">
      <c r="A581" s="50" t="s">
        <v>2157</v>
      </c>
      <c r="B581" s="50" t="s">
        <v>2158</v>
      </c>
      <c r="C581" s="50" t="s">
        <v>95</v>
      </c>
      <c r="D581" s="50" t="n">
        <v>2</v>
      </c>
      <c r="E581" s="50" t="s">
        <v>96</v>
      </c>
      <c r="F581" s="50" t="s">
        <v>2159</v>
      </c>
      <c r="G581" s="52" t="s">
        <v>585</v>
      </c>
      <c r="H581" s="50" t="n">
        <v>20</v>
      </c>
      <c r="I581" s="50"/>
      <c r="K581" s="50"/>
    </row>
    <row r="582" customFormat="false" ht="15" hidden="false" customHeight="false" outlineLevel="0" collapsed="false">
      <c r="A582" s="50" t="s">
        <v>2160</v>
      </c>
      <c r="B582" s="50" t="s">
        <v>2161</v>
      </c>
      <c r="C582" s="50" t="s">
        <v>95</v>
      </c>
      <c r="D582" s="50" t="n">
        <v>2</v>
      </c>
      <c r="E582" s="50" t="s">
        <v>96</v>
      </c>
      <c r="F582" s="50" t="s">
        <v>2162</v>
      </c>
      <c r="G582" s="52" t="s">
        <v>2163</v>
      </c>
      <c r="H582" s="50" t="n">
        <v>4</v>
      </c>
      <c r="I582" s="50"/>
      <c r="K582" s="50"/>
    </row>
    <row r="583" customFormat="false" ht="15" hidden="false" customHeight="false" outlineLevel="0" collapsed="false">
      <c r="A583" s="50" t="s">
        <v>2164</v>
      </c>
      <c r="B583" s="50" t="s">
        <v>2165</v>
      </c>
      <c r="C583" s="50" t="s">
        <v>95</v>
      </c>
      <c r="D583" s="50" t="n">
        <v>2</v>
      </c>
      <c r="E583" s="50" t="s">
        <v>96</v>
      </c>
      <c r="F583" s="50" t="s">
        <v>2166</v>
      </c>
      <c r="G583" s="52" t="s">
        <v>1165</v>
      </c>
      <c r="H583" s="50" t="n">
        <v>40</v>
      </c>
      <c r="I583" s="50"/>
      <c r="K583" s="50"/>
    </row>
    <row r="584" customFormat="false" ht="15" hidden="false" customHeight="false" outlineLevel="0" collapsed="false">
      <c r="A584" s="50" t="s">
        <v>2167</v>
      </c>
      <c r="B584" s="50" t="s">
        <v>2168</v>
      </c>
      <c r="C584" s="50" t="s">
        <v>95</v>
      </c>
      <c r="D584" s="50" t="n">
        <v>2</v>
      </c>
      <c r="E584" s="50" t="s">
        <v>96</v>
      </c>
      <c r="F584" s="50" t="s">
        <v>2169</v>
      </c>
      <c r="G584" s="52" t="s">
        <v>2170</v>
      </c>
      <c r="H584" s="50" t="n">
        <v>40</v>
      </c>
      <c r="I584" s="50"/>
      <c r="K584" s="50"/>
    </row>
    <row r="585" customFormat="false" ht="15" hidden="false" customHeight="false" outlineLevel="0" collapsed="false">
      <c r="A585" s="50" t="s">
        <v>2171</v>
      </c>
      <c r="B585" s="50" t="s">
        <v>2172</v>
      </c>
      <c r="C585" s="50" t="s">
        <v>95</v>
      </c>
      <c r="D585" s="50" t="n">
        <v>2</v>
      </c>
      <c r="E585" s="50" t="s">
        <v>96</v>
      </c>
      <c r="F585" s="50" t="s">
        <v>2173</v>
      </c>
      <c r="G585" s="52" t="s">
        <v>2174</v>
      </c>
      <c r="H585" s="50" t="n">
        <v>0</v>
      </c>
      <c r="I585" s="50"/>
      <c r="K585" s="50"/>
    </row>
    <row r="586" customFormat="false" ht="15" hidden="false" customHeight="false" outlineLevel="0" collapsed="false">
      <c r="A586" s="50" t="s">
        <v>2175</v>
      </c>
      <c r="B586" s="50" t="s">
        <v>2176</v>
      </c>
      <c r="C586" s="50" t="s">
        <v>95</v>
      </c>
      <c r="D586" s="50" t="n">
        <v>2</v>
      </c>
      <c r="E586" s="50" t="s">
        <v>96</v>
      </c>
      <c r="F586" s="50" t="s">
        <v>2177</v>
      </c>
      <c r="G586" s="52" t="s">
        <v>2178</v>
      </c>
      <c r="H586" s="50" t="n">
        <v>10</v>
      </c>
      <c r="I586" s="50"/>
      <c r="K586" s="50"/>
    </row>
    <row r="587" customFormat="false" ht="15" hidden="false" customHeight="false" outlineLevel="0" collapsed="false">
      <c r="A587" s="50" t="s">
        <v>2179</v>
      </c>
      <c r="B587" s="50" t="s">
        <v>2180</v>
      </c>
      <c r="C587" s="50" t="s">
        <v>95</v>
      </c>
      <c r="D587" s="50" t="n">
        <v>2</v>
      </c>
      <c r="E587" s="50" t="s">
        <v>96</v>
      </c>
      <c r="F587" s="50" t="s">
        <v>2181</v>
      </c>
      <c r="G587" s="52" t="s">
        <v>2182</v>
      </c>
      <c r="H587" s="50" t="n">
        <v>1</v>
      </c>
      <c r="I587" s="50"/>
      <c r="K587" s="50"/>
    </row>
    <row r="588" customFormat="false" ht="15" hidden="false" customHeight="false" outlineLevel="0" collapsed="false">
      <c r="A588" s="50" t="s">
        <v>2183</v>
      </c>
      <c r="B588" s="50" t="s">
        <v>2184</v>
      </c>
      <c r="C588" s="50" t="s">
        <v>95</v>
      </c>
      <c r="D588" s="50" t="n">
        <v>2</v>
      </c>
      <c r="E588" s="50" t="s">
        <v>96</v>
      </c>
      <c r="F588" s="50" t="s">
        <v>2185</v>
      </c>
      <c r="G588" s="52" t="s">
        <v>2186</v>
      </c>
      <c r="H588" s="50" t="n">
        <v>25</v>
      </c>
      <c r="I588" s="50"/>
      <c r="K588" s="50"/>
    </row>
    <row r="589" customFormat="false" ht="15" hidden="false" customHeight="false" outlineLevel="0" collapsed="false">
      <c r="A589" s="50" t="s">
        <v>2187</v>
      </c>
      <c r="B589" s="50" t="s">
        <v>2188</v>
      </c>
      <c r="C589" s="50" t="s">
        <v>95</v>
      </c>
      <c r="D589" s="50" t="n">
        <v>2</v>
      </c>
      <c r="E589" s="50" t="s">
        <v>96</v>
      </c>
      <c r="F589" s="50" t="s">
        <v>2189</v>
      </c>
      <c r="G589" s="52" t="s">
        <v>2190</v>
      </c>
      <c r="H589" s="50" t="n">
        <v>1</v>
      </c>
      <c r="I589" s="50"/>
      <c r="K589" s="50"/>
    </row>
    <row r="590" customFormat="false" ht="15" hidden="false" customHeight="false" outlineLevel="0" collapsed="false">
      <c r="A590" s="50" t="s">
        <v>2191</v>
      </c>
      <c r="B590" s="50" t="s">
        <v>2192</v>
      </c>
      <c r="C590" s="50" t="s">
        <v>95</v>
      </c>
      <c r="D590" s="50" t="n">
        <v>2</v>
      </c>
      <c r="E590" s="50" t="s">
        <v>96</v>
      </c>
      <c r="F590" s="50" t="s">
        <v>2193</v>
      </c>
      <c r="G590" s="52" t="s">
        <v>2194</v>
      </c>
      <c r="H590" s="50" t="n">
        <v>1</v>
      </c>
      <c r="I590" s="50"/>
      <c r="K590" s="50"/>
    </row>
    <row r="591" customFormat="false" ht="15" hidden="false" customHeight="false" outlineLevel="0" collapsed="false">
      <c r="A591" s="50" t="s">
        <v>2195</v>
      </c>
      <c r="B591" s="50" t="s">
        <v>2196</v>
      </c>
      <c r="C591" s="50" t="s">
        <v>95</v>
      </c>
      <c r="D591" s="50" t="n">
        <v>2</v>
      </c>
      <c r="E591" s="50" t="s">
        <v>96</v>
      </c>
      <c r="F591" s="50" t="s">
        <v>2197</v>
      </c>
      <c r="G591" s="52" t="s">
        <v>2198</v>
      </c>
      <c r="H591" s="50" t="n">
        <v>1</v>
      </c>
      <c r="I591" s="50"/>
      <c r="K591" s="50"/>
    </row>
    <row r="592" customFormat="false" ht="25.5" hidden="false" customHeight="false" outlineLevel="0" collapsed="false">
      <c r="A592" s="50" t="s">
        <v>2199</v>
      </c>
      <c r="B592" s="50" t="s">
        <v>2200</v>
      </c>
      <c r="C592" s="50" t="s">
        <v>95</v>
      </c>
      <c r="D592" s="50" t="n">
        <v>2</v>
      </c>
      <c r="E592" s="50" t="s">
        <v>96</v>
      </c>
      <c r="F592" s="50" t="s">
        <v>2201</v>
      </c>
      <c r="G592" s="52" t="s">
        <v>2202</v>
      </c>
      <c r="H592" s="50" t="n">
        <v>1</v>
      </c>
      <c r="I592" s="50"/>
      <c r="K592" s="50"/>
    </row>
    <row r="593" customFormat="false" ht="25.5" hidden="false" customHeight="false" outlineLevel="0" collapsed="false">
      <c r="A593" s="50" t="s">
        <v>2203</v>
      </c>
      <c r="B593" s="50" t="s">
        <v>2204</v>
      </c>
      <c r="C593" s="50" t="s">
        <v>95</v>
      </c>
      <c r="D593" s="50" t="n">
        <v>2</v>
      </c>
      <c r="E593" s="50" t="s">
        <v>96</v>
      </c>
      <c r="F593" s="50" t="s">
        <v>2205</v>
      </c>
      <c r="G593" s="52" t="s">
        <v>2206</v>
      </c>
      <c r="H593" s="50" t="n">
        <v>1</v>
      </c>
      <c r="I593" s="50"/>
      <c r="K593" s="50"/>
    </row>
    <row r="594" customFormat="false" ht="15" hidden="false" customHeight="false" outlineLevel="0" collapsed="false">
      <c r="A594" s="50" t="s">
        <v>2207</v>
      </c>
      <c r="B594" s="50" t="s">
        <v>2208</v>
      </c>
      <c r="C594" s="50" t="s">
        <v>95</v>
      </c>
      <c r="D594" s="50" t="n">
        <v>2</v>
      </c>
      <c r="E594" s="50" t="s">
        <v>96</v>
      </c>
      <c r="F594" s="50" t="s">
        <v>2209</v>
      </c>
      <c r="G594" s="52" t="s">
        <v>2210</v>
      </c>
      <c r="H594" s="50" t="n">
        <v>1</v>
      </c>
      <c r="I594" s="50"/>
      <c r="K594" s="50"/>
    </row>
    <row r="595" customFormat="false" ht="25.5" hidden="false" customHeight="false" outlineLevel="0" collapsed="false">
      <c r="A595" s="50" t="s">
        <v>2211</v>
      </c>
      <c r="B595" s="50" t="s">
        <v>2212</v>
      </c>
      <c r="C595" s="50" t="s">
        <v>95</v>
      </c>
      <c r="D595" s="50" t="n">
        <v>2</v>
      </c>
      <c r="E595" s="50" t="s">
        <v>96</v>
      </c>
      <c r="F595" s="50" t="s">
        <v>2213</v>
      </c>
      <c r="G595" s="52" t="s">
        <v>2214</v>
      </c>
      <c r="H595" s="50" t="n">
        <v>1</v>
      </c>
      <c r="I595" s="50"/>
      <c r="K595" s="50"/>
    </row>
    <row r="596" customFormat="false" ht="15" hidden="false" customHeight="false" outlineLevel="0" collapsed="false">
      <c r="A596" s="50" t="s">
        <v>2215</v>
      </c>
      <c r="B596" s="50" t="s">
        <v>2216</v>
      </c>
      <c r="C596" s="50" t="s">
        <v>95</v>
      </c>
      <c r="D596" s="50" t="n">
        <v>2</v>
      </c>
      <c r="E596" s="50" t="s">
        <v>96</v>
      </c>
      <c r="F596" s="50" t="s">
        <v>2217</v>
      </c>
      <c r="G596" s="52" t="s">
        <v>2218</v>
      </c>
      <c r="H596" s="50" t="n">
        <v>1</v>
      </c>
      <c r="I596" s="50"/>
      <c r="K596" s="50"/>
    </row>
    <row r="597" customFormat="false" ht="15" hidden="false" customHeight="false" outlineLevel="0" collapsed="false">
      <c r="A597" s="50" t="s">
        <v>2219</v>
      </c>
      <c r="B597" s="50" t="s">
        <v>2220</v>
      </c>
      <c r="C597" s="50" t="s">
        <v>95</v>
      </c>
      <c r="D597" s="50" t="n">
        <v>2</v>
      </c>
      <c r="E597" s="50" t="s">
        <v>96</v>
      </c>
      <c r="F597" s="50" t="s">
        <v>2221</v>
      </c>
      <c r="G597" s="52" t="s">
        <v>2222</v>
      </c>
      <c r="H597" s="50" t="n">
        <v>1</v>
      </c>
      <c r="I597" s="50"/>
      <c r="K597" s="50"/>
    </row>
    <row r="598" customFormat="false" ht="25.5" hidden="false" customHeight="false" outlineLevel="0" collapsed="false">
      <c r="A598" s="50" t="s">
        <v>2223</v>
      </c>
      <c r="B598" s="50" t="s">
        <v>2224</v>
      </c>
      <c r="C598" s="50" t="s">
        <v>95</v>
      </c>
      <c r="D598" s="50" t="n">
        <v>2</v>
      </c>
      <c r="E598" s="50" t="s">
        <v>96</v>
      </c>
      <c r="F598" s="50" t="s">
        <v>2225</v>
      </c>
      <c r="G598" s="52" t="s">
        <v>2226</v>
      </c>
      <c r="H598" s="50" t="n">
        <v>1</v>
      </c>
      <c r="I598" s="50"/>
      <c r="K598" s="50"/>
    </row>
    <row r="599" customFormat="false" ht="25.5" hidden="false" customHeight="false" outlineLevel="0" collapsed="false">
      <c r="A599" s="50" t="s">
        <v>2227</v>
      </c>
      <c r="B599" s="50" t="s">
        <v>2228</v>
      </c>
      <c r="C599" s="50" t="s">
        <v>95</v>
      </c>
      <c r="D599" s="50" t="n">
        <v>2</v>
      </c>
      <c r="E599" s="50" t="s">
        <v>96</v>
      </c>
      <c r="F599" s="50" t="s">
        <v>2229</v>
      </c>
      <c r="G599" s="52" t="s">
        <v>2230</v>
      </c>
      <c r="H599" s="50" t="n">
        <v>1</v>
      </c>
      <c r="I599" s="50"/>
      <c r="K599" s="50"/>
    </row>
    <row r="600" customFormat="false" ht="15" hidden="false" customHeight="false" outlineLevel="0" collapsed="false">
      <c r="A600" s="50" t="s">
        <v>2231</v>
      </c>
      <c r="B600" s="50" t="s">
        <v>2232</v>
      </c>
      <c r="C600" s="50" t="s">
        <v>95</v>
      </c>
      <c r="D600" s="50" t="n">
        <v>2</v>
      </c>
      <c r="E600" s="50" t="s">
        <v>96</v>
      </c>
      <c r="F600" s="50" t="s">
        <v>2233</v>
      </c>
      <c r="G600" s="52" t="s">
        <v>2234</v>
      </c>
      <c r="H600" s="50" t="n">
        <v>2</v>
      </c>
      <c r="I600" s="50"/>
      <c r="K600" s="50"/>
    </row>
    <row r="601" customFormat="false" ht="15" hidden="false" customHeight="false" outlineLevel="0" collapsed="false">
      <c r="A601" s="50" t="s">
        <v>2235</v>
      </c>
      <c r="B601" s="50" t="s">
        <v>2236</v>
      </c>
      <c r="C601" s="50" t="s">
        <v>95</v>
      </c>
      <c r="D601" s="50" t="n">
        <v>2</v>
      </c>
      <c r="E601" s="50" t="s">
        <v>96</v>
      </c>
      <c r="F601" s="50" t="s">
        <v>2237</v>
      </c>
      <c r="G601" s="52" t="s">
        <v>2238</v>
      </c>
      <c r="H601" s="50" t="n">
        <v>1</v>
      </c>
      <c r="I601" s="50"/>
      <c r="K601" s="50"/>
    </row>
    <row r="602" customFormat="false" ht="15" hidden="false" customHeight="false" outlineLevel="0" collapsed="false">
      <c r="A602" s="50" t="s">
        <v>2239</v>
      </c>
      <c r="B602" s="50" t="s">
        <v>2240</v>
      </c>
      <c r="C602" s="50" t="s">
        <v>95</v>
      </c>
      <c r="D602" s="50" t="n">
        <v>2</v>
      </c>
      <c r="E602" s="50" t="s">
        <v>96</v>
      </c>
      <c r="F602" s="50" t="s">
        <v>2241</v>
      </c>
      <c r="G602" s="52" t="s">
        <v>2238</v>
      </c>
      <c r="H602" s="50" t="n">
        <v>1</v>
      </c>
      <c r="I602" s="50"/>
      <c r="K602" s="50"/>
    </row>
    <row r="603" customFormat="false" ht="15" hidden="false" customHeight="false" outlineLevel="0" collapsed="false">
      <c r="A603" s="50" t="s">
        <v>2242</v>
      </c>
      <c r="B603" s="50" t="s">
        <v>2243</v>
      </c>
      <c r="C603" s="50" t="s">
        <v>95</v>
      </c>
      <c r="D603" s="50" t="n">
        <v>2</v>
      </c>
      <c r="E603" s="50" t="s">
        <v>96</v>
      </c>
      <c r="F603" s="50" t="s">
        <v>2244</v>
      </c>
      <c r="G603" s="52" t="s">
        <v>2245</v>
      </c>
      <c r="H603" s="50" t="n">
        <v>2</v>
      </c>
      <c r="I603" s="50"/>
      <c r="K603" s="50"/>
    </row>
    <row r="604" customFormat="false" ht="15" hidden="false" customHeight="false" outlineLevel="0" collapsed="false">
      <c r="A604" s="50" t="s">
        <v>2246</v>
      </c>
      <c r="B604" s="50" t="s">
        <v>2247</v>
      </c>
      <c r="C604" s="50" t="s">
        <v>95</v>
      </c>
      <c r="D604" s="50" t="n">
        <v>2</v>
      </c>
      <c r="E604" s="50" t="s">
        <v>96</v>
      </c>
      <c r="F604" s="50" t="s">
        <v>2248</v>
      </c>
      <c r="G604" s="52" t="s">
        <v>2249</v>
      </c>
      <c r="H604" s="50" t="n">
        <v>1</v>
      </c>
      <c r="I604" s="50"/>
      <c r="K604" s="50"/>
    </row>
    <row r="605" customFormat="false" ht="15" hidden="false" customHeight="false" outlineLevel="0" collapsed="false">
      <c r="A605" s="50" t="s">
        <v>2250</v>
      </c>
      <c r="B605" s="50" t="s">
        <v>2251</v>
      </c>
      <c r="C605" s="50" t="s">
        <v>95</v>
      </c>
      <c r="D605" s="50" t="n">
        <v>2</v>
      </c>
      <c r="E605" s="50" t="s">
        <v>96</v>
      </c>
      <c r="F605" s="50" t="s">
        <v>2252</v>
      </c>
      <c r="G605" s="52" t="s">
        <v>2249</v>
      </c>
      <c r="H605" s="50" t="n">
        <v>1</v>
      </c>
      <c r="I605" s="50"/>
      <c r="K605" s="50"/>
    </row>
    <row r="606" customFormat="false" ht="15" hidden="false" customHeight="false" outlineLevel="0" collapsed="false">
      <c r="A606" s="50" t="s">
        <v>2253</v>
      </c>
      <c r="B606" s="50" t="s">
        <v>2254</v>
      </c>
      <c r="C606" s="50" t="s">
        <v>95</v>
      </c>
      <c r="D606" s="50" t="n">
        <v>2</v>
      </c>
      <c r="E606" s="50" t="s">
        <v>96</v>
      </c>
      <c r="F606" s="50" t="s">
        <v>2255</v>
      </c>
      <c r="G606" s="52" t="s">
        <v>2256</v>
      </c>
      <c r="H606" s="50" t="n">
        <v>1</v>
      </c>
      <c r="I606" s="50"/>
      <c r="K606" s="50"/>
    </row>
    <row r="607" customFormat="false" ht="15" hidden="false" customHeight="false" outlineLevel="0" collapsed="false">
      <c r="A607" s="50" t="s">
        <v>2257</v>
      </c>
      <c r="B607" s="50" t="s">
        <v>2258</v>
      </c>
      <c r="C607" s="50" t="s">
        <v>95</v>
      </c>
      <c r="D607" s="50" t="n">
        <v>2</v>
      </c>
      <c r="E607" s="50" t="s">
        <v>96</v>
      </c>
      <c r="F607" s="50" t="s">
        <v>2259</v>
      </c>
      <c r="G607" s="52" t="s">
        <v>2260</v>
      </c>
      <c r="H607" s="50" t="n">
        <v>1</v>
      </c>
      <c r="I607" s="50"/>
      <c r="K607" s="50"/>
    </row>
    <row r="608" customFormat="false" ht="25.5" hidden="false" customHeight="false" outlineLevel="0" collapsed="false">
      <c r="A608" s="50" t="s">
        <v>2261</v>
      </c>
      <c r="B608" s="50" t="s">
        <v>2262</v>
      </c>
      <c r="C608" s="50" t="s">
        <v>95</v>
      </c>
      <c r="D608" s="50" t="n">
        <v>2</v>
      </c>
      <c r="E608" s="50" t="s">
        <v>96</v>
      </c>
      <c r="F608" s="50" t="s">
        <v>2263</v>
      </c>
      <c r="G608" s="52" t="s">
        <v>2264</v>
      </c>
      <c r="H608" s="50" t="n">
        <v>1</v>
      </c>
      <c r="I608" s="50"/>
      <c r="K608" s="50"/>
    </row>
    <row r="609" customFormat="false" ht="15" hidden="false" customHeight="false" outlineLevel="0" collapsed="false">
      <c r="A609" s="50" t="s">
        <v>2265</v>
      </c>
      <c r="B609" s="50" t="s">
        <v>2266</v>
      </c>
      <c r="C609" s="50" t="s">
        <v>95</v>
      </c>
      <c r="D609" s="50" t="n">
        <v>2</v>
      </c>
      <c r="E609" s="50" t="s">
        <v>96</v>
      </c>
      <c r="F609" s="50" t="s">
        <v>2267</v>
      </c>
      <c r="G609" s="52" t="s">
        <v>529</v>
      </c>
      <c r="H609" s="50" t="n">
        <v>1</v>
      </c>
      <c r="I609" s="50"/>
      <c r="K609" s="50"/>
    </row>
    <row r="610" customFormat="false" ht="15" hidden="false" customHeight="false" outlineLevel="0" collapsed="false">
      <c r="A610" s="50" t="s">
        <v>2268</v>
      </c>
      <c r="B610" s="50" t="s">
        <v>2269</v>
      </c>
      <c r="C610" s="50" t="s">
        <v>95</v>
      </c>
      <c r="D610" s="50" t="n">
        <v>2</v>
      </c>
      <c r="E610" s="50" t="s">
        <v>96</v>
      </c>
      <c r="F610" s="50" t="s">
        <v>2270</v>
      </c>
      <c r="G610" s="52" t="s">
        <v>2271</v>
      </c>
      <c r="H610" s="50" t="n">
        <v>1</v>
      </c>
      <c r="I610" s="50"/>
      <c r="K610" s="50"/>
    </row>
    <row r="611" customFormat="false" ht="15" hidden="false" customHeight="false" outlineLevel="0" collapsed="false">
      <c r="A611" s="50" t="s">
        <v>2272</v>
      </c>
      <c r="B611" s="50" t="s">
        <v>2273</v>
      </c>
      <c r="C611" s="50" t="s">
        <v>95</v>
      </c>
      <c r="D611" s="50" t="n">
        <v>2</v>
      </c>
      <c r="E611" s="50" t="s">
        <v>96</v>
      </c>
      <c r="F611" s="50" t="s">
        <v>2274</v>
      </c>
      <c r="G611" s="52" t="s">
        <v>1915</v>
      </c>
      <c r="H611" s="50" t="n">
        <v>1</v>
      </c>
      <c r="I611" s="50"/>
      <c r="K611" s="50"/>
    </row>
    <row r="612" customFormat="false" ht="15" hidden="false" customHeight="false" outlineLevel="0" collapsed="false">
      <c r="A612" s="50" t="s">
        <v>2275</v>
      </c>
      <c r="B612" s="50" t="s">
        <v>2276</v>
      </c>
      <c r="C612" s="50" t="s">
        <v>95</v>
      </c>
      <c r="D612" s="50" t="n">
        <v>2</v>
      </c>
      <c r="E612" s="50" t="s">
        <v>96</v>
      </c>
      <c r="F612" s="50" t="s">
        <v>2277</v>
      </c>
      <c r="G612" s="52" t="s">
        <v>2278</v>
      </c>
      <c r="H612" s="50" t="n">
        <v>1</v>
      </c>
      <c r="I612" s="50"/>
      <c r="K612" s="50"/>
    </row>
    <row r="613" customFormat="false" ht="15" hidden="false" customHeight="false" outlineLevel="0" collapsed="false">
      <c r="A613" s="50" t="s">
        <v>2279</v>
      </c>
      <c r="B613" s="50" t="s">
        <v>2280</v>
      </c>
      <c r="C613" s="50" t="s">
        <v>95</v>
      </c>
      <c r="D613" s="50" t="n">
        <v>2</v>
      </c>
      <c r="E613" s="50" t="s">
        <v>96</v>
      </c>
      <c r="F613" s="50" t="s">
        <v>2281</v>
      </c>
      <c r="G613" s="52" t="s">
        <v>2282</v>
      </c>
      <c r="H613" s="50" t="n">
        <v>1</v>
      </c>
      <c r="I613" s="50"/>
      <c r="K613" s="50"/>
    </row>
    <row r="614" customFormat="false" ht="15" hidden="false" customHeight="false" outlineLevel="0" collapsed="false">
      <c r="A614" s="50" t="s">
        <v>2283</v>
      </c>
      <c r="B614" s="50" t="s">
        <v>2284</v>
      </c>
      <c r="C614" s="50" t="s">
        <v>95</v>
      </c>
      <c r="D614" s="50" t="n">
        <v>2</v>
      </c>
      <c r="E614" s="50" t="s">
        <v>96</v>
      </c>
      <c r="F614" s="50" t="s">
        <v>2285</v>
      </c>
      <c r="G614" s="52" t="s">
        <v>2286</v>
      </c>
      <c r="H614" s="50" t="n">
        <v>1</v>
      </c>
      <c r="I614" s="50"/>
      <c r="K614" s="50"/>
    </row>
    <row r="615" customFormat="false" ht="15" hidden="false" customHeight="false" outlineLevel="0" collapsed="false">
      <c r="A615" s="50" t="s">
        <v>2287</v>
      </c>
      <c r="B615" s="50" t="s">
        <v>2288</v>
      </c>
      <c r="C615" s="50" t="s">
        <v>95</v>
      </c>
      <c r="D615" s="50" t="n">
        <v>2</v>
      </c>
      <c r="E615" s="50" t="s">
        <v>96</v>
      </c>
      <c r="F615" s="50" t="s">
        <v>2289</v>
      </c>
      <c r="G615" s="52" t="s">
        <v>2290</v>
      </c>
      <c r="H615" s="50" t="n">
        <v>1</v>
      </c>
      <c r="I615" s="50"/>
      <c r="K615" s="50"/>
    </row>
    <row r="616" customFormat="false" ht="15" hidden="false" customHeight="false" outlineLevel="0" collapsed="false">
      <c r="A616" s="50" t="s">
        <v>2291</v>
      </c>
      <c r="B616" s="50" t="s">
        <v>2292</v>
      </c>
      <c r="C616" s="50" t="s">
        <v>95</v>
      </c>
      <c r="D616" s="50" t="n">
        <v>2</v>
      </c>
      <c r="E616" s="50" t="s">
        <v>96</v>
      </c>
      <c r="F616" s="50" t="s">
        <v>2293</v>
      </c>
      <c r="G616" s="52" t="s">
        <v>2294</v>
      </c>
      <c r="H616" s="50" t="n">
        <v>1</v>
      </c>
      <c r="I616" s="50"/>
      <c r="K616" s="50"/>
    </row>
    <row r="617" customFormat="false" ht="15" hidden="false" customHeight="false" outlineLevel="0" collapsed="false">
      <c r="A617" s="50" t="s">
        <v>2295</v>
      </c>
      <c r="B617" s="50" t="s">
        <v>2296</v>
      </c>
      <c r="C617" s="50" t="s">
        <v>95</v>
      </c>
      <c r="D617" s="50" t="n">
        <v>2</v>
      </c>
      <c r="E617" s="50" t="s">
        <v>96</v>
      </c>
      <c r="F617" s="50" t="s">
        <v>2297</v>
      </c>
      <c r="G617" s="52" t="s">
        <v>2298</v>
      </c>
      <c r="H617" s="50" t="n">
        <v>2</v>
      </c>
      <c r="I617" s="50"/>
      <c r="K617" s="50"/>
    </row>
    <row r="618" customFormat="false" ht="15" hidden="false" customHeight="false" outlineLevel="0" collapsed="false">
      <c r="A618" s="50" t="s">
        <v>2299</v>
      </c>
      <c r="B618" s="50" t="s">
        <v>2300</v>
      </c>
      <c r="C618" s="50" t="s">
        <v>95</v>
      </c>
      <c r="D618" s="50" t="n">
        <v>2</v>
      </c>
      <c r="E618" s="50" t="s">
        <v>96</v>
      </c>
      <c r="F618" s="50" t="s">
        <v>2301</v>
      </c>
      <c r="G618" s="52" t="s">
        <v>1369</v>
      </c>
      <c r="H618" s="50" t="n">
        <v>1</v>
      </c>
      <c r="I618" s="50"/>
      <c r="K618" s="50"/>
    </row>
    <row r="619" customFormat="false" ht="15" hidden="false" customHeight="false" outlineLevel="0" collapsed="false">
      <c r="A619" s="50" t="s">
        <v>2302</v>
      </c>
      <c r="B619" s="50" t="s">
        <v>2303</v>
      </c>
      <c r="C619" s="50" t="s">
        <v>95</v>
      </c>
      <c r="D619" s="50" t="n">
        <v>2</v>
      </c>
      <c r="E619" s="50" t="s">
        <v>96</v>
      </c>
      <c r="F619" s="50" t="s">
        <v>2304</v>
      </c>
      <c r="G619" s="52" t="s">
        <v>1247</v>
      </c>
      <c r="H619" s="50" t="n">
        <v>1</v>
      </c>
      <c r="I619" s="50"/>
      <c r="K619" s="50"/>
    </row>
    <row r="620" customFormat="false" ht="15" hidden="false" customHeight="false" outlineLevel="0" collapsed="false">
      <c r="A620" s="50" t="s">
        <v>2305</v>
      </c>
      <c r="B620" s="50" t="s">
        <v>2306</v>
      </c>
      <c r="C620" s="50" t="s">
        <v>95</v>
      </c>
      <c r="D620" s="50" t="n">
        <v>2</v>
      </c>
      <c r="E620" s="50" t="s">
        <v>96</v>
      </c>
      <c r="F620" s="50" t="s">
        <v>2307</v>
      </c>
      <c r="G620" s="52" t="s">
        <v>2308</v>
      </c>
      <c r="H620" s="50" t="n">
        <v>1</v>
      </c>
      <c r="I620" s="50"/>
      <c r="K620" s="50"/>
    </row>
    <row r="621" customFormat="false" ht="15" hidden="false" customHeight="false" outlineLevel="0" collapsed="false">
      <c r="A621" s="50" t="s">
        <v>2309</v>
      </c>
      <c r="B621" s="50" t="s">
        <v>2310</v>
      </c>
      <c r="C621" s="50" t="s">
        <v>95</v>
      </c>
      <c r="D621" s="50" t="n">
        <v>2</v>
      </c>
      <c r="E621" s="50" t="s">
        <v>96</v>
      </c>
      <c r="F621" s="50" t="s">
        <v>2311</v>
      </c>
      <c r="G621" s="52" t="s">
        <v>2312</v>
      </c>
      <c r="H621" s="50" t="n">
        <v>1</v>
      </c>
      <c r="I621" s="50"/>
      <c r="K621" s="50"/>
    </row>
    <row r="622" customFormat="false" ht="15" hidden="false" customHeight="false" outlineLevel="0" collapsed="false">
      <c r="A622" s="50" t="s">
        <v>2313</v>
      </c>
      <c r="B622" s="50" t="s">
        <v>2314</v>
      </c>
      <c r="C622" s="50" t="s">
        <v>95</v>
      </c>
      <c r="D622" s="50" t="n">
        <v>2</v>
      </c>
      <c r="E622" s="50" t="s">
        <v>96</v>
      </c>
      <c r="F622" s="50" t="s">
        <v>2315</v>
      </c>
      <c r="G622" s="52" t="s">
        <v>2316</v>
      </c>
      <c r="H622" s="50" t="n">
        <v>1</v>
      </c>
      <c r="I622" s="50"/>
      <c r="K622" s="50"/>
    </row>
    <row r="623" customFormat="false" ht="15" hidden="false" customHeight="false" outlineLevel="0" collapsed="false">
      <c r="A623" s="50" t="s">
        <v>2317</v>
      </c>
      <c r="B623" s="50" t="s">
        <v>2318</v>
      </c>
      <c r="C623" s="50" t="s">
        <v>95</v>
      </c>
      <c r="D623" s="50" t="n">
        <v>2</v>
      </c>
      <c r="E623" s="50" t="s">
        <v>96</v>
      </c>
      <c r="F623" s="50" t="s">
        <v>2319</v>
      </c>
      <c r="G623" s="52" t="s">
        <v>2320</v>
      </c>
      <c r="H623" s="50" t="n">
        <v>0</v>
      </c>
      <c r="I623" s="50"/>
      <c r="K623" s="50"/>
    </row>
    <row r="624" customFormat="false" ht="15" hidden="false" customHeight="false" outlineLevel="0" collapsed="false">
      <c r="A624" s="50" t="s">
        <v>2321</v>
      </c>
      <c r="B624" s="50" t="s">
        <v>2322</v>
      </c>
      <c r="C624" s="50" t="s">
        <v>95</v>
      </c>
      <c r="D624" s="50" t="n">
        <v>2</v>
      </c>
      <c r="E624" s="50" t="s">
        <v>96</v>
      </c>
      <c r="F624" s="50" t="s">
        <v>2323</v>
      </c>
      <c r="G624" s="52" t="s">
        <v>2324</v>
      </c>
      <c r="H624" s="50" t="n">
        <v>0</v>
      </c>
      <c r="I624" s="50"/>
      <c r="K624" s="50"/>
    </row>
    <row r="625" customFormat="false" ht="15" hidden="false" customHeight="false" outlineLevel="0" collapsed="false">
      <c r="A625" s="50" t="s">
        <v>2325</v>
      </c>
      <c r="B625" s="50" t="s">
        <v>2326</v>
      </c>
      <c r="C625" s="50" t="s">
        <v>95</v>
      </c>
      <c r="D625" s="50" t="n">
        <v>2</v>
      </c>
      <c r="E625" s="50" t="s">
        <v>96</v>
      </c>
      <c r="F625" s="50" t="s">
        <v>2327</v>
      </c>
      <c r="G625" s="52" t="s">
        <v>2328</v>
      </c>
      <c r="H625" s="50" t="n">
        <v>1</v>
      </c>
      <c r="I625" s="50"/>
      <c r="K625" s="50"/>
    </row>
    <row r="626" customFormat="false" ht="15" hidden="false" customHeight="false" outlineLevel="0" collapsed="false">
      <c r="A626" s="50" t="s">
        <v>2329</v>
      </c>
      <c r="B626" s="50" t="s">
        <v>2330</v>
      </c>
      <c r="C626" s="50" t="s">
        <v>95</v>
      </c>
      <c r="D626" s="50" t="n">
        <v>2</v>
      </c>
      <c r="E626" s="50" t="s">
        <v>96</v>
      </c>
      <c r="F626" s="50" t="s">
        <v>2331</v>
      </c>
      <c r="G626" s="52" t="s">
        <v>880</v>
      </c>
      <c r="H626" s="50" t="n">
        <v>0</v>
      </c>
      <c r="I626" s="50"/>
      <c r="K626" s="50"/>
    </row>
    <row r="627" customFormat="false" ht="15" hidden="false" customHeight="false" outlineLevel="0" collapsed="false">
      <c r="A627" s="50" t="s">
        <v>2332</v>
      </c>
      <c r="B627" s="50" t="s">
        <v>2333</v>
      </c>
      <c r="C627" s="50" t="s">
        <v>95</v>
      </c>
      <c r="D627" s="50" t="n">
        <v>2</v>
      </c>
      <c r="E627" s="50" t="s">
        <v>96</v>
      </c>
      <c r="F627" s="50" t="s">
        <v>2334</v>
      </c>
      <c r="G627" s="52" t="s">
        <v>2328</v>
      </c>
      <c r="H627" s="50" t="n">
        <v>1</v>
      </c>
      <c r="I627" s="50"/>
      <c r="K627" s="50"/>
    </row>
    <row r="628" customFormat="false" ht="15" hidden="false" customHeight="false" outlineLevel="0" collapsed="false">
      <c r="A628" s="50" t="s">
        <v>2335</v>
      </c>
      <c r="B628" s="50" t="s">
        <v>2336</v>
      </c>
      <c r="C628" s="50" t="s">
        <v>95</v>
      </c>
      <c r="D628" s="50" t="n">
        <v>2</v>
      </c>
      <c r="E628" s="50" t="s">
        <v>96</v>
      </c>
      <c r="F628" s="50" t="s">
        <v>2337</v>
      </c>
      <c r="G628" s="52" t="s">
        <v>2338</v>
      </c>
      <c r="H628" s="50" t="n">
        <v>0</v>
      </c>
      <c r="I628" s="50"/>
      <c r="K628" s="50"/>
    </row>
    <row r="629" customFormat="false" ht="25.5" hidden="false" customHeight="false" outlineLevel="0" collapsed="false">
      <c r="A629" s="50" t="s">
        <v>2339</v>
      </c>
      <c r="B629" s="50" t="s">
        <v>2340</v>
      </c>
      <c r="C629" s="50" t="s">
        <v>95</v>
      </c>
      <c r="D629" s="50" t="n">
        <v>2</v>
      </c>
      <c r="E629" s="50" t="s">
        <v>96</v>
      </c>
      <c r="F629" s="50" t="s">
        <v>2341</v>
      </c>
      <c r="G629" s="52" t="s">
        <v>2342</v>
      </c>
      <c r="H629" s="50" t="n">
        <v>8</v>
      </c>
      <c r="I629" s="50"/>
      <c r="K629" s="50"/>
    </row>
    <row r="630" customFormat="false" ht="25.5" hidden="false" customHeight="false" outlineLevel="0" collapsed="false">
      <c r="A630" s="50" t="s">
        <v>2343</v>
      </c>
      <c r="B630" s="50" t="s">
        <v>2344</v>
      </c>
      <c r="C630" s="50" t="s">
        <v>95</v>
      </c>
      <c r="D630" s="50" t="n">
        <v>2</v>
      </c>
      <c r="E630" s="50" t="s">
        <v>96</v>
      </c>
      <c r="F630" s="50" t="s">
        <v>2345</v>
      </c>
      <c r="G630" s="52" t="s">
        <v>2342</v>
      </c>
      <c r="H630" s="50" t="n">
        <v>8</v>
      </c>
      <c r="I630" s="50"/>
      <c r="K630" s="50"/>
    </row>
    <row r="631" customFormat="false" ht="25.5" hidden="false" customHeight="false" outlineLevel="0" collapsed="false">
      <c r="A631" s="50" t="s">
        <v>2346</v>
      </c>
      <c r="B631" s="50" t="s">
        <v>2347</v>
      </c>
      <c r="C631" s="50" t="s">
        <v>95</v>
      </c>
      <c r="D631" s="50" t="n">
        <v>2</v>
      </c>
      <c r="E631" s="50" t="s">
        <v>96</v>
      </c>
      <c r="F631" s="50" t="s">
        <v>2348</v>
      </c>
      <c r="G631" s="52" t="s">
        <v>330</v>
      </c>
      <c r="H631" s="50" t="n">
        <v>1</v>
      </c>
      <c r="I631" s="50"/>
      <c r="K631" s="50"/>
    </row>
    <row r="632" customFormat="false" ht="15" hidden="false" customHeight="false" outlineLevel="0" collapsed="false">
      <c r="A632" s="50" t="s">
        <v>2349</v>
      </c>
      <c r="B632" s="50" t="s">
        <v>2350</v>
      </c>
      <c r="C632" s="50" t="s">
        <v>95</v>
      </c>
      <c r="D632" s="50" t="n">
        <v>2</v>
      </c>
      <c r="E632" s="50" t="s">
        <v>96</v>
      </c>
      <c r="F632" s="50" t="s">
        <v>2351</v>
      </c>
      <c r="G632" s="52" t="s">
        <v>2352</v>
      </c>
      <c r="H632" s="50" t="n">
        <v>1</v>
      </c>
      <c r="I632" s="50"/>
      <c r="K632" s="50"/>
    </row>
    <row r="633" customFormat="false" ht="15" hidden="false" customHeight="false" outlineLevel="0" collapsed="false">
      <c r="A633" s="50" t="s">
        <v>2353</v>
      </c>
      <c r="B633" s="50" t="s">
        <v>2354</v>
      </c>
      <c r="C633" s="50" t="s">
        <v>95</v>
      </c>
      <c r="D633" s="50" t="n">
        <v>2</v>
      </c>
      <c r="E633" s="50" t="s">
        <v>96</v>
      </c>
      <c r="F633" s="50" t="s">
        <v>2355</v>
      </c>
      <c r="G633" s="52" t="s">
        <v>2356</v>
      </c>
      <c r="H633" s="50" t="n">
        <v>0</v>
      </c>
      <c r="I633" s="50"/>
      <c r="K633" s="50"/>
    </row>
    <row r="634" customFormat="false" ht="15" hidden="false" customHeight="false" outlineLevel="0" collapsed="false">
      <c r="A634" s="50" t="s">
        <v>2357</v>
      </c>
      <c r="B634" s="50" t="s">
        <v>2358</v>
      </c>
      <c r="C634" s="50" t="s">
        <v>95</v>
      </c>
      <c r="D634" s="50" t="n">
        <v>2</v>
      </c>
      <c r="E634" s="50" t="s">
        <v>96</v>
      </c>
      <c r="F634" s="50" t="s">
        <v>2359</v>
      </c>
      <c r="G634" s="52" t="s">
        <v>2360</v>
      </c>
      <c r="H634" s="50" t="n">
        <v>20</v>
      </c>
      <c r="I634" s="50"/>
      <c r="K634" s="50"/>
    </row>
    <row r="635" customFormat="false" ht="15" hidden="false" customHeight="false" outlineLevel="0" collapsed="false">
      <c r="A635" s="50" t="s">
        <v>2361</v>
      </c>
      <c r="B635" s="50" t="s">
        <v>2362</v>
      </c>
      <c r="C635" s="50" t="s">
        <v>95</v>
      </c>
      <c r="D635" s="50" t="n">
        <v>2</v>
      </c>
      <c r="E635" s="50" t="s">
        <v>96</v>
      </c>
      <c r="F635" s="50" t="s">
        <v>2363</v>
      </c>
      <c r="G635" s="52" t="s">
        <v>2364</v>
      </c>
      <c r="H635" s="50" t="n">
        <v>60</v>
      </c>
      <c r="I635" s="50"/>
      <c r="K635" s="50"/>
    </row>
    <row r="636" customFormat="false" ht="15" hidden="false" customHeight="false" outlineLevel="0" collapsed="false">
      <c r="A636" s="50" t="s">
        <v>2365</v>
      </c>
      <c r="B636" s="50" t="s">
        <v>2366</v>
      </c>
      <c r="C636" s="50" t="s">
        <v>95</v>
      </c>
      <c r="D636" s="50" t="n">
        <v>2</v>
      </c>
      <c r="E636" s="50" t="s">
        <v>96</v>
      </c>
      <c r="F636" s="50" t="s">
        <v>2367</v>
      </c>
      <c r="G636" s="52" t="s">
        <v>2364</v>
      </c>
      <c r="H636" s="50" t="n">
        <v>60</v>
      </c>
      <c r="I636" s="50"/>
      <c r="K636" s="50"/>
    </row>
    <row r="637" customFormat="false" ht="15" hidden="false" customHeight="false" outlineLevel="0" collapsed="false">
      <c r="A637" s="50" t="s">
        <v>2368</v>
      </c>
      <c r="B637" s="50" t="s">
        <v>2369</v>
      </c>
      <c r="C637" s="50" t="s">
        <v>95</v>
      </c>
      <c r="D637" s="50" t="n">
        <v>2</v>
      </c>
      <c r="E637" s="50" t="s">
        <v>96</v>
      </c>
      <c r="F637" s="50" t="s">
        <v>2370</v>
      </c>
      <c r="G637" s="52" t="s">
        <v>2364</v>
      </c>
      <c r="H637" s="50" t="n">
        <v>60</v>
      </c>
      <c r="I637" s="50"/>
      <c r="K637" s="50"/>
    </row>
    <row r="638" customFormat="false" ht="15" hidden="false" customHeight="false" outlineLevel="0" collapsed="false">
      <c r="A638" s="50" t="s">
        <v>2371</v>
      </c>
      <c r="B638" s="50" t="s">
        <v>2372</v>
      </c>
      <c r="C638" s="50" t="s">
        <v>95</v>
      </c>
      <c r="D638" s="50" t="n">
        <v>20</v>
      </c>
      <c r="E638" s="50" t="s">
        <v>113</v>
      </c>
      <c r="F638" s="50" t="s">
        <v>2373</v>
      </c>
      <c r="G638" s="52" t="s">
        <v>2374</v>
      </c>
      <c r="H638" s="50" t="n">
        <v>20</v>
      </c>
      <c r="I638" s="50"/>
      <c r="K638" s="50"/>
    </row>
    <row r="639" customFormat="false" ht="15" hidden="false" customHeight="false" outlineLevel="0" collapsed="false">
      <c r="A639" s="50" t="s">
        <v>2375</v>
      </c>
      <c r="B639" s="50" t="s">
        <v>2376</v>
      </c>
      <c r="C639" s="50" t="s">
        <v>95</v>
      </c>
      <c r="D639" s="50" t="n">
        <v>2</v>
      </c>
      <c r="E639" s="50" t="s">
        <v>96</v>
      </c>
      <c r="F639" s="50" t="s">
        <v>2377</v>
      </c>
      <c r="G639" s="52" t="s">
        <v>2374</v>
      </c>
      <c r="H639" s="50" t="n">
        <v>20</v>
      </c>
      <c r="I639" s="50"/>
      <c r="K639" s="50"/>
    </row>
    <row r="640" customFormat="false" ht="15" hidden="false" customHeight="false" outlineLevel="0" collapsed="false">
      <c r="A640" s="50" t="s">
        <v>2378</v>
      </c>
      <c r="B640" s="50" t="s">
        <v>2379</v>
      </c>
      <c r="C640" s="50" t="s">
        <v>95</v>
      </c>
      <c r="D640" s="50" t="n">
        <v>2</v>
      </c>
      <c r="E640" s="50" t="s">
        <v>96</v>
      </c>
      <c r="F640" s="50" t="s">
        <v>2380</v>
      </c>
      <c r="G640" s="52" t="s">
        <v>2381</v>
      </c>
      <c r="H640" s="50" t="n">
        <v>1</v>
      </c>
      <c r="I640" s="50"/>
      <c r="K640" s="50"/>
    </row>
    <row r="641" customFormat="false" ht="15" hidden="false" customHeight="false" outlineLevel="0" collapsed="false">
      <c r="A641" s="50" t="s">
        <v>2382</v>
      </c>
      <c r="B641" s="50" t="s">
        <v>2383</v>
      </c>
      <c r="C641" s="50" t="s">
        <v>95</v>
      </c>
      <c r="D641" s="50" t="n">
        <v>20</v>
      </c>
      <c r="E641" s="50" t="s">
        <v>113</v>
      </c>
      <c r="F641" s="50" t="s">
        <v>2384</v>
      </c>
      <c r="G641" s="52" t="s">
        <v>2374</v>
      </c>
      <c r="H641" s="50" t="n">
        <v>20</v>
      </c>
      <c r="I641" s="50"/>
      <c r="K641" s="50"/>
    </row>
    <row r="642" customFormat="false" ht="15" hidden="false" customHeight="false" outlineLevel="0" collapsed="false">
      <c r="A642" s="50" t="s">
        <v>2385</v>
      </c>
      <c r="B642" s="50" t="s">
        <v>2386</v>
      </c>
      <c r="C642" s="50" t="s">
        <v>95</v>
      </c>
      <c r="D642" s="50" t="n">
        <v>20</v>
      </c>
      <c r="E642" s="50" t="s">
        <v>113</v>
      </c>
      <c r="F642" s="50" t="s">
        <v>2387</v>
      </c>
      <c r="G642" s="52" t="s">
        <v>2388</v>
      </c>
      <c r="H642" s="50" t="n">
        <v>16</v>
      </c>
      <c r="I642" s="50"/>
      <c r="K642" s="50"/>
    </row>
    <row r="643" customFormat="false" ht="15" hidden="false" customHeight="false" outlineLevel="0" collapsed="false">
      <c r="A643" s="50" t="s">
        <v>2389</v>
      </c>
      <c r="B643" s="50" t="s">
        <v>2390</v>
      </c>
      <c r="C643" s="50" t="s">
        <v>95</v>
      </c>
      <c r="D643" s="50" t="n">
        <v>2</v>
      </c>
      <c r="E643" s="50" t="s">
        <v>96</v>
      </c>
      <c r="F643" s="50" t="s">
        <v>2391</v>
      </c>
      <c r="G643" s="52" t="s">
        <v>2392</v>
      </c>
      <c r="H643" s="50" t="n">
        <v>100</v>
      </c>
      <c r="I643" s="50"/>
      <c r="K643" s="50"/>
    </row>
    <row r="644" customFormat="false" ht="15" hidden="false" customHeight="false" outlineLevel="0" collapsed="false">
      <c r="A644" s="50" t="s">
        <v>2393</v>
      </c>
      <c r="B644" s="50" t="s">
        <v>2394</v>
      </c>
      <c r="C644" s="50" t="s">
        <v>95</v>
      </c>
      <c r="D644" s="50" t="n">
        <v>2</v>
      </c>
      <c r="E644" s="50" t="s">
        <v>96</v>
      </c>
      <c r="F644" s="50" t="s">
        <v>2395</v>
      </c>
      <c r="G644" s="52" t="s">
        <v>2396</v>
      </c>
      <c r="H644" s="50" t="n">
        <v>225</v>
      </c>
      <c r="I644" s="50"/>
      <c r="K644" s="50"/>
    </row>
    <row r="645" customFormat="false" ht="15" hidden="false" customHeight="false" outlineLevel="0" collapsed="false">
      <c r="A645" s="50" t="s">
        <v>2397</v>
      </c>
      <c r="B645" s="50" t="s">
        <v>2398</v>
      </c>
      <c r="C645" s="50" t="s">
        <v>95</v>
      </c>
      <c r="D645" s="50" t="n">
        <v>2</v>
      </c>
      <c r="E645" s="50" t="s">
        <v>96</v>
      </c>
      <c r="F645" s="50" t="s">
        <v>2399</v>
      </c>
      <c r="G645" s="52" t="s">
        <v>2396</v>
      </c>
      <c r="H645" s="50" t="n">
        <v>225</v>
      </c>
      <c r="I645" s="50"/>
      <c r="K645" s="50"/>
    </row>
    <row r="646" customFormat="false" ht="15" hidden="false" customHeight="false" outlineLevel="0" collapsed="false">
      <c r="A646" s="50" t="s">
        <v>2400</v>
      </c>
      <c r="B646" s="50" t="s">
        <v>2401</v>
      </c>
      <c r="C646" s="50" t="s">
        <v>95</v>
      </c>
      <c r="D646" s="50" t="n">
        <v>2</v>
      </c>
      <c r="E646" s="50" t="s">
        <v>96</v>
      </c>
      <c r="F646" s="50" t="s">
        <v>2402</v>
      </c>
      <c r="G646" s="52" t="s">
        <v>2396</v>
      </c>
      <c r="H646" s="50" t="n">
        <v>225</v>
      </c>
      <c r="I646" s="50"/>
      <c r="K646" s="50"/>
    </row>
    <row r="647" customFormat="false" ht="15" hidden="false" customHeight="false" outlineLevel="0" collapsed="false">
      <c r="A647" s="50" t="s">
        <v>2403</v>
      </c>
      <c r="B647" s="50" t="s">
        <v>2404</v>
      </c>
      <c r="C647" s="50" t="s">
        <v>95</v>
      </c>
      <c r="D647" s="50" t="n">
        <v>2</v>
      </c>
      <c r="E647" s="50" t="s">
        <v>96</v>
      </c>
      <c r="F647" s="50" t="s">
        <v>2405</v>
      </c>
      <c r="G647" s="52" t="s">
        <v>2406</v>
      </c>
      <c r="H647" s="50" t="n">
        <v>200</v>
      </c>
      <c r="I647" s="50"/>
      <c r="K647" s="50"/>
    </row>
    <row r="648" customFormat="false" ht="15" hidden="false" customHeight="false" outlineLevel="0" collapsed="false">
      <c r="A648" s="50" t="s">
        <v>2407</v>
      </c>
      <c r="B648" s="50" t="s">
        <v>2408</v>
      </c>
      <c r="C648" s="50" t="s">
        <v>95</v>
      </c>
      <c r="D648" s="50" t="n">
        <v>2</v>
      </c>
      <c r="E648" s="50" t="s">
        <v>96</v>
      </c>
      <c r="F648" s="50" t="s">
        <v>2409</v>
      </c>
      <c r="G648" s="52" t="s">
        <v>2410</v>
      </c>
      <c r="H648" s="50" t="n">
        <v>60</v>
      </c>
      <c r="I648" s="50"/>
      <c r="K648" s="50"/>
    </row>
    <row r="649" customFormat="false" ht="15" hidden="false" customHeight="false" outlineLevel="0" collapsed="false">
      <c r="A649" s="50" t="s">
        <v>2411</v>
      </c>
      <c r="B649" s="50" t="s">
        <v>2412</v>
      </c>
      <c r="C649" s="50" t="s">
        <v>95</v>
      </c>
      <c r="D649" s="50" t="n">
        <v>2</v>
      </c>
      <c r="E649" s="50" t="s">
        <v>96</v>
      </c>
      <c r="F649" s="50" t="s">
        <v>2413</v>
      </c>
      <c r="G649" s="52" t="s">
        <v>2414</v>
      </c>
      <c r="H649" s="50" t="n">
        <v>60</v>
      </c>
      <c r="I649" s="50"/>
      <c r="K649" s="50"/>
    </row>
    <row r="650" customFormat="false" ht="15" hidden="false" customHeight="false" outlineLevel="0" collapsed="false">
      <c r="A650" s="50" t="s">
        <v>2415</v>
      </c>
      <c r="B650" s="50" t="s">
        <v>2416</v>
      </c>
      <c r="C650" s="50" t="s">
        <v>95</v>
      </c>
      <c r="D650" s="50" t="n">
        <v>2</v>
      </c>
      <c r="E650" s="50" t="s">
        <v>96</v>
      </c>
      <c r="F650" s="50" t="s">
        <v>2417</v>
      </c>
      <c r="G650" s="52" t="s">
        <v>2418</v>
      </c>
      <c r="H650" s="50" t="n">
        <v>25</v>
      </c>
      <c r="I650" s="50"/>
      <c r="K650" s="50"/>
    </row>
    <row r="651" customFormat="false" ht="15" hidden="false" customHeight="false" outlineLevel="0" collapsed="false">
      <c r="A651" s="50" t="s">
        <v>2419</v>
      </c>
      <c r="B651" s="50" t="s">
        <v>2420</v>
      </c>
      <c r="C651" s="50" t="s">
        <v>95</v>
      </c>
      <c r="D651" s="50" t="n">
        <v>2</v>
      </c>
      <c r="E651" s="50" t="s">
        <v>96</v>
      </c>
      <c r="F651" s="50" t="s">
        <v>2421</v>
      </c>
      <c r="G651" s="52" t="s">
        <v>2422</v>
      </c>
      <c r="H651" s="50" t="n">
        <v>275</v>
      </c>
      <c r="I651" s="50"/>
      <c r="K651" s="50"/>
    </row>
    <row r="652" customFormat="false" ht="15" hidden="false" customHeight="false" outlineLevel="0" collapsed="false">
      <c r="A652" s="50" t="s">
        <v>2423</v>
      </c>
      <c r="B652" s="50" t="s">
        <v>2424</v>
      </c>
      <c r="C652" s="50" t="s">
        <v>95</v>
      </c>
      <c r="D652" s="50" t="n">
        <v>2</v>
      </c>
      <c r="E652" s="50" t="s">
        <v>96</v>
      </c>
      <c r="F652" s="50" t="s">
        <v>2425</v>
      </c>
      <c r="G652" s="52" t="s">
        <v>2426</v>
      </c>
      <c r="H652" s="50" t="n">
        <v>1</v>
      </c>
      <c r="I652" s="50"/>
      <c r="K652" s="50"/>
    </row>
    <row r="653" customFormat="false" ht="15" hidden="false" customHeight="false" outlineLevel="0" collapsed="false">
      <c r="A653" s="50" t="s">
        <v>2427</v>
      </c>
      <c r="B653" s="50" t="s">
        <v>2428</v>
      </c>
      <c r="C653" s="50" t="s">
        <v>95</v>
      </c>
      <c r="D653" s="50" t="n">
        <v>2</v>
      </c>
      <c r="E653" s="50" t="s">
        <v>96</v>
      </c>
      <c r="F653" s="50" t="s">
        <v>2429</v>
      </c>
      <c r="G653" s="52" t="s">
        <v>2430</v>
      </c>
      <c r="H653" s="50" t="n">
        <v>1</v>
      </c>
      <c r="I653" s="50"/>
      <c r="K653" s="50"/>
    </row>
    <row r="654" customFormat="false" ht="15" hidden="false" customHeight="false" outlineLevel="0" collapsed="false">
      <c r="A654" s="50" t="s">
        <v>2431</v>
      </c>
      <c r="B654" s="50" t="s">
        <v>2432</v>
      </c>
      <c r="C654" s="50" t="s">
        <v>95</v>
      </c>
      <c r="D654" s="50" t="n">
        <v>2</v>
      </c>
      <c r="E654" s="50" t="s">
        <v>96</v>
      </c>
      <c r="F654" s="50" t="s">
        <v>2433</v>
      </c>
      <c r="G654" s="52" t="s">
        <v>2434</v>
      </c>
      <c r="H654" s="50" t="n">
        <v>1</v>
      </c>
      <c r="I654" s="50"/>
      <c r="K654" s="50"/>
    </row>
    <row r="655" customFormat="false" ht="15" hidden="false" customHeight="false" outlineLevel="0" collapsed="false">
      <c r="A655" s="50" t="s">
        <v>2435</v>
      </c>
      <c r="B655" s="50" t="s">
        <v>2436</v>
      </c>
      <c r="C655" s="50" t="s">
        <v>95</v>
      </c>
      <c r="D655" s="50" t="n">
        <v>2</v>
      </c>
      <c r="E655" s="50" t="s">
        <v>96</v>
      </c>
      <c r="F655" s="50" t="s">
        <v>2437</v>
      </c>
      <c r="G655" s="52" t="s">
        <v>2438</v>
      </c>
      <c r="H655" s="50" t="n">
        <v>1</v>
      </c>
      <c r="I655" s="50"/>
      <c r="K655" s="50"/>
    </row>
    <row r="656" customFormat="false" ht="15" hidden="false" customHeight="false" outlineLevel="0" collapsed="false">
      <c r="A656" s="50" t="s">
        <v>2439</v>
      </c>
      <c r="B656" s="50" t="s">
        <v>2440</v>
      </c>
      <c r="C656" s="50" t="s">
        <v>95</v>
      </c>
      <c r="D656" s="50" t="n">
        <v>15</v>
      </c>
      <c r="E656" s="50" t="s">
        <v>113</v>
      </c>
      <c r="F656" s="50" t="s">
        <v>2441</v>
      </c>
      <c r="G656" s="52" t="s">
        <v>2442</v>
      </c>
      <c r="H656" s="50" t="n">
        <v>1</v>
      </c>
      <c r="I656" s="50"/>
      <c r="K656" s="50"/>
    </row>
    <row r="657" customFormat="false" ht="15" hidden="false" customHeight="false" outlineLevel="0" collapsed="false">
      <c r="A657" s="50" t="s">
        <v>2443</v>
      </c>
      <c r="B657" s="50" t="s">
        <v>2444</v>
      </c>
      <c r="C657" s="50" t="s">
        <v>95</v>
      </c>
      <c r="D657" s="50" t="n">
        <v>15</v>
      </c>
      <c r="E657" s="50" t="s">
        <v>113</v>
      </c>
      <c r="F657" s="50" t="s">
        <v>2445</v>
      </c>
      <c r="G657" s="52" t="s">
        <v>2442</v>
      </c>
      <c r="H657" s="50" t="n">
        <v>1</v>
      </c>
      <c r="I657" s="50"/>
      <c r="K657" s="50"/>
    </row>
    <row r="658" customFormat="false" ht="15" hidden="false" customHeight="false" outlineLevel="0" collapsed="false">
      <c r="A658" s="50" t="s">
        <v>2446</v>
      </c>
      <c r="B658" s="50" t="s">
        <v>2447</v>
      </c>
      <c r="C658" s="50" t="s">
        <v>95</v>
      </c>
      <c r="D658" s="50" t="n">
        <v>15</v>
      </c>
      <c r="E658" s="50" t="s">
        <v>113</v>
      </c>
      <c r="F658" s="50" t="s">
        <v>2448</v>
      </c>
      <c r="G658" s="52" t="s">
        <v>2449</v>
      </c>
      <c r="H658" s="50" t="n">
        <v>1</v>
      </c>
      <c r="I658" s="50"/>
      <c r="K658" s="50"/>
    </row>
    <row r="659" customFormat="false" ht="15" hidden="false" customHeight="false" outlineLevel="0" collapsed="false">
      <c r="A659" s="50" t="s">
        <v>2450</v>
      </c>
      <c r="B659" s="50" t="s">
        <v>2451</v>
      </c>
      <c r="C659" s="50" t="s">
        <v>95</v>
      </c>
      <c r="D659" s="50" t="n">
        <v>15</v>
      </c>
      <c r="E659" s="50" t="s">
        <v>113</v>
      </c>
      <c r="F659" s="50" t="s">
        <v>2452</v>
      </c>
      <c r="G659" s="52" t="s">
        <v>2453</v>
      </c>
      <c r="H659" s="50" t="n">
        <v>1</v>
      </c>
      <c r="I659" s="50"/>
      <c r="K659" s="50"/>
    </row>
    <row r="660" customFormat="false" ht="25.5" hidden="false" customHeight="false" outlineLevel="0" collapsed="false">
      <c r="A660" s="50" t="s">
        <v>2454</v>
      </c>
      <c r="B660" s="50" t="s">
        <v>2455</v>
      </c>
      <c r="C660" s="50" t="s">
        <v>95</v>
      </c>
      <c r="D660" s="50" t="n">
        <v>15</v>
      </c>
      <c r="E660" s="50" t="s">
        <v>113</v>
      </c>
      <c r="F660" s="50" t="s">
        <v>2456</v>
      </c>
      <c r="G660" s="52" t="s">
        <v>2453</v>
      </c>
      <c r="H660" s="50" t="n">
        <v>1</v>
      </c>
      <c r="I660" s="50"/>
      <c r="K660" s="50"/>
    </row>
    <row r="661" customFormat="false" ht="15" hidden="false" customHeight="false" outlineLevel="0" collapsed="false">
      <c r="A661" s="50" t="s">
        <v>2457</v>
      </c>
      <c r="B661" s="50" t="s">
        <v>2458</v>
      </c>
      <c r="C661" s="50" t="s">
        <v>95</v>
      </c>
      <c r="D661" s="50" t="n">
        <v>2</v>
      </c>
      <c r="E661" s="50" t="s">
        <v>96</v>
      </c>
      <c r="F661" s="50" t="s">
        <v>2459</v>
      </c>
      <c r="G661" s="52" t="s">
        <v>2460</v>
      </c>
      <c r="H661" s="50" t="n">
        <v>3</v>
      </c>
      <c r="I661" s="50"/>
      <c r="K661" s="50"/>
    </row>
    <row r="662" customFormat="false" ht="15" hidden="false" customHeight="false" outlineLevel="0" collapsed="false">
      <c r="A662" s="50" t="s">
        <v>2461</v>
      </c>
      <c r="B662" s="50" t="s">
        <v>2462</v>
      </c>
      <c r="C662" s="50" t="s">
        <v>95</v>
      </c>
      <c r="D662" s="50" t="n">
        <v>2</v>
      </c>
      <c r="E662" s="50" t="s">
        <v>96</v>
      </c>
      <c r="F662" s="50" t="s">
        <v>2463</v>
      </c>
      <c r="G662" s="52" t="s">
        <v>2464</v>
      </c>
      <c r="H662" s="50" t="n">
        <v>3</v>
      </c>
      <c r="I662" s="50"/>
      <c r="K662" s="50"/>
    </row>
    <row r="663" customFormat="false" ht="15" hidden="false" customHeight="false" outlineLevel="0" collapsed="false">
      <c r="A663" s="50" t="s">
        <v>2465</v>
      </c>
      <c r="B663" s="50" t="s">
        <v>2466</v>
      </c>
      <c r="C663" s="50" t="s">
        <v>95</v>
      </c>
      <c r="D663" s="50" t="n">
        <v>2</v>
      </c>
      <c r="E663" s="50" t="s">
        <v>96</v>
      </c>
      <c r="F663" s="50" t="s">
        <v>2467</v>
      </c>
      <c r="G663" s="52" t="s">
        <v>2468</v>
      </c>
      <c r="H663" s="50" t="n">
        <v>2</v>
      </c>
      <c r="I663" s="50"/>
      <c r="K663" s="50"/>
    </row>
    <row r="664" customFormat="false" ht="15" hidden="false" customHeight="false" outlineLevel="0" collapsed="false">
      <c r="A664" s="50" t="s">
        <v>2469</v>
      </c>
      <c r="B664" s="50" t="s">
        <v>2470</v>
      </c>
      <c r="C664" s="50" t="s">
        <v>95</v>
      </c>
      <c r="D664" s="50" t="n">
        <v>2</v>
      </c>
      <c r="E664" s="50" t="s">
        <v>96</v>
      </c>
      <c r="F664" s="50" t="s">
        <v>2471</v>
      </c>
      <c r="G664" s="52" t="s">
        <v>1496</v>
      </c>
      <c r="H664" s="50" t="n">
        <v>250</v>
      </c>
      <c r="I664" s="50"/>
      <c r="K664" s="50"/>
    </row>
    <row r="665" customFormat="false" ht="15" hidden="false" customHeight="false" outlineLevel="0" collapsed="false">
      <c r="A665" s="50" t="s">
        <v>2472</v>
      </c>
      <c r="B665" s="50" t="s">
        <v>2473</v>
      </c>
      <c r="C665" s="50" t="s">
        <v>95</v>
      </c>
      <c r="D665" s="50" t="n">
        <v>2</v>
      </c>
      <c r="E665" s="50" t="s">
        <v>96</v>
      </c>
      <c r="F665" s="50" t="s">
        <v>2474</v>
      </c>
      <c r="G665" s="52" t="s">
        <v>2475</v>
      </c>
      <c r="H665" s="50" t="n">
        <v>2</v>
      </c>
      <c r="I665" s="50"/>
      <c r="K665" s="50"/>
    </row>
    <row r="666" customFormat="false" ht="15" hidden="false" customHeight="false" outlineLevel="0" collapsed="false">
      <c r="A666" s="50" t="s">
        <v>2476</v>
      </c>
      <c r="B666" s="50" t="s">
        <v>2477</v>
      </c>
      <c r="C666" s="50" t="s">
        <v>95</v>
      </c>
      <c r="D666" s="50" t="n">
        <v>2</v>
      </c>
      <c r="E666" s="50" t="s">
        <v>96</v>
      </c>
      <c r="F666" s="50" t="s">
        <v>2478</v>
      </c>
      <c r="G666" s="52" t="s">
        <v>2479</v>
      </c>
      <c r="H666" s="50" t="n">
        <v>1</v>
      </c>
      <c r="I666" s="50"/>
      <c r="K666" s="50"/>
    </row>
    <row r="667" customFormat="false" ht="15" hidden="false" customHeight="false" outlineLevel="0" collapsed="false">
      <c r="A667" s="50" t="s">
        <v>2480</v>
      </c>
      <c r="B667" s="50" t="s">
        <v>2481</v>
      </c>
      <c r="C667" s="50" t="s">
        <v>95</v>
      </c>
      <c r="D667" s="50" t="n">
        <v>2</v>
      </c>
      <c r="E667" s="50" t="s">
        <v>96</v>
      </c>
      <c r="F667" s="50" t="s">
        <v>2482</v>
      </c>
      <c r="G667" s="52" t="s">
        <v>2483</v>
      </c>
      <c r="H667" s="50" t="n">
        <v>1</v>
      </c>
      <c r="I667" s="50"/>
      <c r="K667" s="50"/>
    </row>
    <row r="668" customFormat="false" ht="15" hidden="false" customHeight="false" outlineLevel="0" collapsed="false">
      <c r="A668" s="50" t="s">
        <v>2484</v>
      </c>
      <c r="B668" s="50" t="s">
        <v>2485</v>
      </c>
      <c r="C668" s="50" t="s">
        <v>95</v>
      </c>
      <c r="D668" s="50" t="n">
        <v>2</v>
      </c>
      <c r="E668" s="50" t="s">
        <v>96</v>
      </c>
      <c r="F668" s="50" t="s">
        <v>2486</v>
      </c>
      <c r="G668" s="52" t="s">
        <v>2487</v>
      </c>
      <c r="H668" s="50" t="n">
        <v>1</v>
      </c>
      <c r="I668" s="50"/>
      <c r="K668" s="50"/>
    </row>
    <row r="669" customFormat="false" ht="15" hidden="false" customHeight="false" outlineLevel="0" collapsed="false">
      <c r="A669" s="50" t="s">
        <v>2488</v>
      </c>
      <c r="B669" s="50" t="s">
        <v>2489</v>
      </c>
      <c r="C669" s="50" t="s">
        <v>95</v>
      </c>
      <c r="D669" s="50" t="n">
        <v>2</v>
      </c>
      <c r="E669" s="50" t="s">
        <v>96</v>
      </c>
      <c r="F669" s="50" t="s">
        <v>2490</v>
      </c>
      <c r="G669" s="52" t="s">
        <v>2483</v>
      </c>
      <c r="H669" s="50" t="n">
        <v>1</v>
      </c>
      <c r="I669" s="50"/>
      <c r="K669" s="50"/>
    </row>
    <row r="670" customFormat="false" ht="15" hidden="false" customHeight="false" outlineLevel="0" collapsed="false">
      <c r="A670" s="50" t="s">
        <v>2491</v>
      </c>
      <c r="B670" s="50" t="s">
        <v>2492</v>
      </c>
      <c r="C670" s="50" t="s">
        <v>95</v>
      </c>
      <c r="D670" s="50" t="n">
        <v>2</v>
      </c>
      <c r="E670" s="50" t="s">
        <v>96</v>
      </c>
      <c r="F670" s="50" t="s">
        <v>2493</v>
      </c>
      <c r="G670" s="52" t="s">
        <v>2494</v>
      </c>
      <c r="H670" s="50" t="n">
        <v>125</v>
      </c>
      <c r="I670" s="50"/>
      <c r="K670" s="50"/>
    </row>
    <row r="671" customFormat="false" ht="15" hidden="false" customHeight="false" outlineLevel="0" collapsed="false">
      <c r="A671" s="50" t="s">
        <v>57</v>
      </c>
      <c r="B671" s="50" t="s">
        <v>2495</v>
      </c>
      <c r="C671" s="50" t="s">
        <v>95</v>
      </c>
      <c r="D671" s="50" t="n">
        <v>2</v>
      </c>
      <c r="E671" s="50" t="s">
        <v>96</v>
      </c>
      <c r="F671" s="50" t="s">
        <v>2496</v>
      </c>
      <c r="G671" s="52" t="s">
        <v>2497</v>
      </c>
      <c r="H671" s="50" t="n">
        <v>420</v>
      </c>
      <c r="I671" s="50"/>
      <c r="K671" s="50"/>
    </row>
    <row r="672" customFormat="false" ht="15" hidden="false" customHeight="false" outlineLevel="0" collapsed="false">
      <c r="A672" s="50" t="s">
        <v>2498</v>
      </c>
      <c r="B672" s="50" t="s">
        <v>2499</v>
      </c>
      <c r="C672" s="50" t="s">
        <v>95</v>
      </c>
      <c r="D672" s="50" t="n">
        <v>20</v>
      </c>
      <c r="E672" s="50" t="s">
        <v>113</v>
      </c>
      <c r="F672" s="50" t="s">
        <v>2500</v>
      </c>
      <c r="G672" s="52" t="s">
        <v>2501</v>
      </c>
      <c r="H672" s="50" t="n">
        <v>1</v>
      </c>
      <c r="I672" s="50"/>
      <c r="K672" s="50"/>
    </row>
    <row r="673" customFormat="false" ht="15" hidden="false" customHeight="false" outlineLevel="0" collapsed="false">
      <c r="A673" s="50" t="s">
        <v>2502</v>
      </c>
      <c r="B673" s="50" t="s">
        <v>2503</v>
      </c>
      <c r="C673" s="50" t="s">
        <v>95</v>
      </c>
      <c r="D673" s="50" t="n">
        <v>2</v>
      </c>
      <c r="E673" s="50" t="s">
        <v>96</v>
      </c>
      <c r="F673" s="50" t="s">
        <v>2504</v>
      </c>
      <c r="G673" s="52" t="s">
        <v>2501</v>
      </c>
      <c r="H673" s="50" t="n">
        <v>1</v>
      </c>
      <c r="I673" s="50"/>
      <c r="K673" s="50"/>
    </row>
    <row r="674" customFormat="false" ht="15" hidden="false" customHeight="false" outlineLevel="0" collapsed="false">
      <c r="A674" s="50" t="s">
        <v>2505</v>
      </c>
      <c r="B674" s="50" t="s">
        <v>2506</v>
      </c>
      <c r="C674" s="50" t="s">
        <v>95</v>
      </c>
      <c r="D674" s="50" t="n">
        <v>20</v>
      </c>
      <c r="E674" s="50" t="s">
        <v>113</v>
      </c>
      <c r="F674" s="50" t="s">
        <v>2507</v>
      </c>
      <c r="G674" s="52" t="s">
        <v>2434</v>
      </c>
      <c r="H674" s="50" t="n">
        <v>1</v>
      </c>
      <c r="I674" s="50"/>
      <c r="K674" s="50"/>
    </row>
    <row r="675" customFormat="false" ht="15" hidden="false" customHeight="false" outlineLevel="0" collapsed="false">
      <c r="A675" s="50" t="s">
        <v>2508</v>
      </c>
      <c r="B675" s="50" t="s">
        <v>2509</v>
      </c>
      <c r="C675" s="50" t="s">
        <v>95</v>
      </c>
      <c r="D675" s="50" t="n">
        <v>2</v>
      </c>
      <c r="E675" s="50" t="s">
        <v>96</v>
      </c>
      <c r="F675" s="50" t="s">
        <v>2510</v>
      </c>
      <c r="G675" s="52" t="s">
        <v>2434</v>
      </c>
      <c r="H675" s="50" t="n">
        <v>1</v>
      </c>
      <c r="I675" s="50"/>
      <c r="K675" s="50"/>
    </row>
    <row r="676" customFormat="false" ht="15" hidden="false" customHeight="false" outlineLevel="0" collapsed="false">
      <c r="A676" s="50" t="s">
        <v>2511</v>
      </c>
      <c r="B676" s="50" t="s">
        <v>2512</v>
      </c>
      <c r="C676" s="50" t="s">
        <v>95</v>
      </c>
      <c r="D676" s="50" t="n">
        <v>2</v>
      </c>
      <c r="E676" s="50" t="s">
        <v>96</v>
      </c>
      <c r="F676" s="50" t="s">
        <v>2513</v>
      </c>
      <c r="G676" s="52" t="s">
        <v>2514</v>
      </c>
      <c r="H676" s="50" t="n">
        <v>1</v>
      </c>
      <c r="I676" s="50"/>
      <c r="K676" s="50"/>
    </row>
    <row r="677" customFormat="false" ht="15" hidden="false" customHeight="false" outlineLevel="0" collapsed="false">
      <c r="A677" s="50" t="s">
        <v>2515</v>
      </c>
      <c r="B677" s="50" t="s">
        <v>2516</v>
      </c>
      <c r="C677" s="50" t="s">
        <v>95</v>
      </c>
      <c r="D677" s="50" t="n">
        <v>20</v>
      </c>
      <c r="E677" s="50" t="s">
        <v>113</v>
      </c>
      <c r="F677" s="50" t="s">
        <v>2517</v>
      </c>
      <c r="G677" s="52" t="s">
        <v>2518</v>
      </c>
      <c r="H677" s="50" t="n">
        <v>150</v>
      </c>
      <c r="I677" s="50"/>
      <c r="K677" s="50"/>
    </row>
    <row r="678" customFormat="false" ht="15" hidden="false" customHeight="false" outlineLevel="0" collapsed="false">
      <c r="A678" s="50" t="s">
        <v>2519</v>
      </c>
      <c r="B678" s="50" t="s">
        <v>2520</v>
      </c>
      <c r="C678" s="50" t="s">
        <v>95</v>
      </c>
      <c r="D678" s="50" t="n">
        <v>2</v>
      </c>
      <c r="E678" s="50" t="s">
        <v>96</v>
      </c>
      <c r="F678" s="50" t="s">
        <v>2521</v>
      </c>
      <c r="G678" s="52" t="s">
        <v>2522</v>
      </c>
      <c r="H678" s="50" t="n">
        <v>150</v>
      </c>
      <c r="I678" s="50"/>
      <c r="K678" s="50"/>
    </row>
    <row r="679" customFormat="false" ht="15" hidden="false" customHeight="false" outlineLevel="0" collapsed="false">
      <c r="A679" s="50" t="s">
        <v>2523</v>
      </c>
      <c r="B679" s="50" t="s">
        <v>2524</v>
      </c>
      <c r="C679" s="50" t="s">
        <v>95</v>
      </c>
      <c r="D679" s="50" t="n">
        <v>2</v>
      </c>
      <c r="E679" s="50" t="s">
        <v>96</v>
      </c>
      <c r="F679" s="50" t="s">
        <v>2525</v>
      </c>
      <c r="G679" s="52" t="s">
        <v>2522</v>
      </c>
      <c r="H679" s="50" t="n">
        <v>150</v>
      </c>
      <c r="I679" s="50"/>
      <c r="K679" s="50"/>
    </row>
    <row r="680" customFormat="false" ht="15" hidden="false" customHeight="false" outlineLevel="0" collapsed="false">
      <c r="A680" s="50" t="s">
        <v>2526</v>
      </c>
      <c r="B680" s="50" t="s">
        <v>2527</v>
      </c>
      <c r="C680" s="50" t="s">
        <v>95</v>
      </c>
      <c r="D680" s="50" t="n">
        <v>2</v>
      </c>
      <c r="E680" s="50" t="s">
        <v>96</v>
      </c>
      <c r="F680" s="50" t="s">
        <v>2528</v>
      </c>
      <c r="G680" s="52" t="s">
        <v>2522</v>
      </c>
      <c r="H680" s="50" t="n">
        <v>150</v>
      </c>
      <c r="I680" s="50"/>
      <c r="K680" s="50"/>
    </row>
    <row r="681" customFormat="false" ht="15" hidden="false" customHeight="false" outlineLevel="0" collapsed="false">
      <c r="A681" s="50" t="s">
        <v>2529</v>
      </c>
      <c r="B681" s="50" t="s">
        <v>2530</v>
      </c>
      <c r="C681" s="50" t="s">
        <v>95</v>
      </c>
      <c r="D681" s="50" t="n">
        <v>2</v>
      </c>
      <c r="E681" s="50" t="s">
        <v>96</v>
      </c>
      <c r="F681" s="50" t="s">
        <v>2531</v>
      </c>
      <c r="G681" s="52" t="s">
        <v>2532</v>
      </c>
      <c r="H681" s="50" t="n">
        <v>150</v>
      </c>
      <c r="I681" s="50"/>
      <c r="K681" s="50"/>
    </row>
    <row r="682" customFormat="false" ht="15" hidden="false" customHeight="false" outlineLevel="0" collapsed="false">
      <c r="A682" s="50" t="s">
        <v>2533</v>
      </c>
      <c r="B682" s="50" t="s">
        <v>2534</v>
      </c>
      <c r="C682" s="50" t="s">
        <v>95</v>
      </c>
      <c r="D682" s="50" t="n">
        <v>2</v>
      </c>
      <c r="E682" s="50" t="s">
        <v>96</v>
      </c>
      <c r="F682" s="50" t="s">
        <v>2535</v>
      </c>
      <c r="G682" s="52" t="s">
        <v>2536</v>
      </c>
      <c r="H682" s="50" t="n">
        <v>1</v>
      </c>
      <c r="I682" s="50"/>
      <c r="K682" s="50"/>
    </row>
    <row r="683" customFormat="false" ht="15" hidden="false" customHeight="false" outlineLevel="0" collapsed="false">
      <c r="A683" s="50" t="s">
        <v>2537</v>
      </c>
      <c r="B683" s="50" t="s">
        <v>2538</v>
      </c>
      <c r="C683" s="50" t="s">
        <v>95</v>
      </c>
      <c r="D683" s="50" t="n">
        <v>2</v>
      </c>
      <c r="E683" s="50" t="s">
        <v>96</v>
      </c>
      <c r="F683" s="50" t="s">
        <v>2539</v>
      </c>
      <c r="G683" s="52" t="s">
        <v>2540</v>
      </c>
      <c r="H683" s="50" t="n">
        <v>1</v>
      </c>
      <c r="I683" s="50"/>
      <c r="K683" s="50"/>
    </row>
    <row r="684" customFormat="false" ht="15" hidden="false" customHeight="false" outlineLevel="0" collapsed="false">
      <c r="A684" s="50" t="s">
        <v>2541</v>
      </c>
      <c r="B684" s="50" t="s">
        <v>2542</v>
      </c>
      <c r="C684" s="50" t="s">
        <v>95</v>
      </c>
      <c r="D684" s="50" t="n">
        <v>2</v>
      </c>
      <c r="E684" s="50" t="s">
        <v>96</v>
      </c>
      <c r="F684" s="50" t="s">
        <v>2543</v>
      </c>
      <c r="G684" s="52" t="s">
        <v>2544</v>
      </c>
      <c r="H684" s="50" t="n">
        <v>1</v>
      </c>
      <c r="I684" s="50"/>
      <c r="K684" s="50"/>
    </row>
    <row r="685" customFormat="false" ht="15" hidden="false" customHeight="false" outlineLevel="0" collapsed="false">
      <c r="A685" s="50" t="s">
        <v>2545</v>
      </c>
      <c r="B685" s="50" t="s">
        <v>2546</v>
      </c>
      <c r="C685" s="50" t="s">
        <v>95</v>
      </c>
      <c r="D685" s="50" t="n">
        <v>2</v>
      </c>
      <c r="E685" s="50" t="s">
        <v>96</v>
      </c>
      <c r="F685" s="50" t="s">
        <v>2547</v>
      </c>
      <c r="G685" s="52" t="s">
        <v>2548</v>
      </c>
      <c r="H685" s="50" t="n">
        <v>1</v>
      </c>
      <c r="I685" s="50"/>
      <c r="K685" s="50"/>
    </row>
    <row r="686" customFormat="false" ht="15" hidden="false" customHeight="false" outlineLevel="0" collapsed="false">
      <c r="A686" s="50" t="s">
        <v>2549</v>
      </c>
      <c r="B686" s="50" t="s">
        <v>2550</v>
      </c>
      <c r="C686" s="50" t="s">
        <v>95</v>
      </c>
      <c r="D686" s="50" t="n">
        <v>2</v>
      </c>
      <c r="E686" s="50" t="s">
        <v>96</v>
      </c>
      <c r="F686" s="50" t="s">
        <v>2551</v>
      </c>
      <c r="G686" s="52" t="s">
        <v>2548</v>
      </c>
      <c r="H686" s="50" t="n">
        <v>1</v>
      </c>
      <c r="I686" s="50"/>
      <c r="K686" s="50"/>
    </row>
    <row r="687" customFormat="false" ht="15" hidden="false" customHeight="false" outlineLevel="0" collapsed="false">
      <c r="A687" s="50" t="s">
        <v>2552</v>
      </c>
      <c r="B687" s="50" t="s">
        <v>2553</v>
      </c>
      <c r="C687" s="50" t="s">
        <v>95</v>
      </c>
      <c r="D687" s="50" t="n">
        <v>2</v>
      </c>
      <c r="E687" s="50" t="s">
        <v>96</v>
      </c>
      <c r="F687" s="50" t="s">
        <v>2554</v>
      </c>
      <c r="G687" s="52" t="s">
        <v>2548</v>
      </c>
      <c r="H687" s="50" t="n">
        <v>1</v>
      </c>
      <c r="I687" s="50"/>
      <c r="K687" s="50"/>
    </row>
    <row r="688" customFormat="false" ht="15" hidden="false" customHeight="false" outlineLevel="0" collapsed="false">
      <c r="A688" s="50" t="s">
        <v>2555</v>
      </c>
      <c r="B688" s="50" t="s">
        <v>2556</v>
      </c>
      <c r="C688" s="50" t="s">
        <v>95</v>
      </c>
      <c r="D688" s="50" t="n">
        <v>2</v>
      </c>
      <c r="E688" s="50" t="s">
        <v>96</v>
      </c>
      <c r="F688" s="50" t="s">
        <v>2557</v>
      </c>
      <c r="G688" s="52" t="s">
        <v>2558</v>
      </c>
      <c r="H688" s="50" t="n">
        <v>0</v>
      </c>
      <c r="I688" s="50"/>
      <c r="K688" s="50"/>
    </row>
    <row r="689" customFormat="false" ht="15" hidden="false" customHeight="false" outlineLevel="0" collapsed="false">
      <c r="A689" s="50" t="s">
        <v>2559</v>
      </c>
      <c r="B689" s="50" t="s">
        <v>2560</v>
      </c>
      <c r="C689" s="50" t="s">
        <v>95</v>
      </c>
      <c r="D689" s="50" t="n">
        <v>2</v>
      </c>
      <c r="E689" s="50" t="s">
        <v>96</v>
      </c>
      <c r="F689" s="50" t="s">
        <v>2561</v>
      </c>
      <c r="G689" s="52" t="s">
        <v>2558</v>
      </c>
      <c r="H689" s="50" t="n">
        <v>0</v>
      </c>
      <c r="I689" s="50"/>
      <c r="K689" s="50"/>
    </row>
    <row r="690" customFormat="false" ht="15" hidden="false" customHeight="false" outlineLevel="0" collapsed="false">
      <c r="A690" s="50" t="s">
        <v>2562</v>
      </c>
      <c r="B690" s="50" t="s">
        <v>2563</v>
      </c>
      <c r="C690" s="50" t="s">
        <v>95</v>
      </c>
      <c r="D690" s="50" t="n">
        <v>2</v>
      </c>
      <c r="E690" s="50" t="s">
        <v>96</v>
      </c>
      <c r="F690" s="50" t="s">
        <v>2564</v>
      </c>
      <c r="G690" s="52" t="s">
        <v>2565</v>
      </c>
      <c r="H690" s="50" t="n">
        <v>120</v>
      </c>
      <c r="I690" s="50"/>
      <c r="K690" s="50"/>
    </row>
    <row r="691" customFormat="false" ht="15" hidden="false" customHeight="false" outlineLevel="0" collapsed="false">
      <c r="A691" s="50" t="s">
        <v>2566</v>
      </c>
      <c r="B691" s="50" t="s">
        <v>2567</v>
      </c>
      <c r="C691" s="50" t="s">
        <v>95</v>
      </c>
      <c r="D691" s="50" t="n">
        <v>2</v>
      </c>
      <c r="E691" s="50" t="s">
        <v>96</v>
      </c>
      <c r="F691" s="50" t="s">
        <v>2568</v>
      </c>
      <c r="G691" s="52" t="s">
        <v>2569</v>
      </c>
      <c r="H691" s="50" t="n">
        <v>0</v>
      </c>
      <c r="I691" s="50"/>
      <c r="K691" s="50"/>
    </row>
    <row r="692" customFormat="false" ht="15" hidden="false" customHeight="false" outlineLevel="0" collapsed="false">
      <c r="A692" s="50" t="s">
        <v>2570</v>
      </c>
      <c r="B692" s="50" t="s">
        <v>2571</v>
      </c>
      <c r="C692" s="50" t="s">
        <v>95</v>
      </c>
      <c r="D692" s="50" t="n">
        <v>2</v>
      </c>
      <c r="E692" s="50" t="s">
        <v>96</v>
      </c>
      <c r="F692" s="50" t="s">
        <v>2572</v>
      </c>
      <c r="G692" s="52" t="s">
        <v>2573</v>
      </c>
      <c r="H692" s="50" t="n">
        <v>1</v>
      </c>
      <c r="I692" s="50"/>
      <c r="K692" s="50"/>
    </row>
    <row r="693" customFormat="false" ht="15" hidden="false" customHeight="false" outlineLevel="0" collapsed="false">
      <c r="A693" s="50" t="s">
        <v>2574</v>
      </c>
      <c r="B693" s="50" t="s">
        <v>2575</v>
      </c>
      <c r="C693" s="50" t="s">
        <v>95</v>
      </c>
      <c r="D693" s="50" t="n">
        <v>2</v>
      </c>
      <c r="E693" s="50" t="s">
        <v>96</v>
      </c>
      <c r="F693" s="50" t="s">
        <v>2576</v>
      </c>
      <c r="G693" s="52" t="s">
        <v>2577</v>
      </c>
      <c r="H693" s="50" t="n">
        <v>1</v>
      </c>
      <c r="I693" s="50"/>
      <c r="K693" s="50"/>
    </row>
    <row r="694" customFormat="false" ht="15" hidden="false" customHeight="false" outlineLevel="0" collapsed="false">
      <c r="A694" s="50" t="s">
        <v>2578</v>
      </c>
      <c r="B694" s="50" t="s">
        <v>2579</v>
      </c>
      <c r="C694" s="50" t="s">
        <v>95</v>
      </c>
      <c r="D694" s="50" t="n">
        <v>2</v>
      </c>
      <c r="E694" s="50" t="s">
        <v>96</v>
      </c>
      <c r="F694" s="50" t="s">
        <v>2580</v>
      </c>
      <c r="G694" s="52" t="s">
        <v>2577</v>
      </c>
      <c r="H694" s="50" t="n">
        <v>1</v>
      </c>
      <c r="I694" s="50"/>
      <c r="K694" s="50"/>
    </row>
    <row r="695" customFormat="false" ht="15" hidden="false" customHeight="false" outlineLevel="0" collapsed="false">
      <c r="A695" s="50" t="s">
        <v>2581</v>
      </c>
      <c r="B695" s="50" t="s">
        <v>2582</v>
      </c>
      <c r="C695" s="50" t="s">
        <v>95</v>
      </c>
      <c r="D695" s="50" t="n">
        <v>2</v>
      </c>
      <c r="E695" s="50" t="s">
        <v>96</v>
      </c>
      <c r="F695" s="50" t="s">
        <v>2583</v>
      </c>
      <c r="G695" s="52" t="s">
        <v>2577</v>
      </c>
      <c r="H695" s="50" t="n">
        <v>1</v>
      </c>
      <c r="I695" s="50"/>
      <c r="K695" s="50"/>
    </row>
    <row r="696" customFormat="false" ht="15" hidden="false" customHeight="false" outlineLevel="0" collapsed="false">
      <c r="A696" s="50" t="s">
        <v>2584</v>
      </c>
      <c r="B696" s="50" t="s">
        <v>2585</v>
      </c>
      <c r="C696" s="50" t="s">
        <v>95</v>
      </c>
      <c r="D696" s="50" t="n">
        <v>2</v>
      </c>
      <c r="E696" s="50" t="s">
        <v>96</v>
      </c>
      <c r="F696" s="50" t="s">
        <v>2586</v>
      </c>
      <c r="G696" s="52" t="s">
        <v>2587</v>
      </c>
      <c r="H696" s="50" t="n">
        <v>1</v>
      </c>
      <c r="I696" s="50"/>
      <c r="K696" s="50"/>
    </row>
    <row r="697" customFormat="false" ht="15" hidden="false" customHeight="false" outlineLevel="0" collapsed="false">
      <c r="A697" s="50" t="s">
        <v>2588</v>
      </c>
      <c r="B697" s="50" t="s">
        <v>2589</v>
      </c>
      <c r="C697" s="50" t="s">
        <v>95</v>
      </c>
      <c r="D697" s="50" t="n">
        <v>2</v>
      </c>
      <c r="E697" s="50" t="s">
        <v>96</v>
      </c>
      <c r="F697" s="50" t="s">
        <v>2590</v>
      </c>
      <c r="G697" s="52" t="s">
        <v>2587</v>
      </c>
      <c r="H697" s="50" t="n">
        <v>1</v>
      </c>
      <c r="I697" s="50"/>
      <c r="K697" s="50"/>
    </row>
    <row r="698" customFormat="false" ht="15" hidden="false" customHeight="false" outlineLevel="0" collapsed="false">
      <c r="A698" s="50" t="s">
        <v>2591</v>
      </c>
      <c r="B698" s="50" t="s">
        <v>2592</v>
      </c>
      <c r="C698" s="50" t="s">
        <v>95</v>
      </c>
      <c r="D698" s="50" t="n">
        <v>2</v>
      </c>
      <c r="E698" s="50" t="s">
        <v>96</v>
      </c>
      <c r="F698" s="50" t="s">
        <v>2593</v>
      </c>
      <c r="G698" s="52" t="s">
        <v>2587</v>
      </c>
      <c r="H698" s="50" t="n">
        <v>1</v>
      </c>
      <c r="I698" s="50"/>
      <c r="K698" s="50"/>
    </row>
    <row r="699" customFormat="false" ht="15" hidden="false" customHeight="false" outlineLevel="0" collapsed="false">
      <c r="A699" s="50" t="s">
        <v>2594</v>
      </c>
      <c r="B699" s="50" t="s">
        <v>2595</v>
      </c>
      <c r="C699" s="50" t="s">
        <v>95</v>
      </c>
      <c r="D699" s="50" t="n">
        <v>2</v>
      </c>
      <c r="E699" s="50" t="s">
        <v>96</v>
      </c>
      <c r="F699" s="50" t="s">
        <v>2596</v>
      </c>
      <c r="G699" s="52" t="s">
        <v>2577</v>
      </c>
      <c r="H699" s="50" t="n">
        <v>1</v>
      </c>
      <c r="I699" s="50"/>
      <c r="K699" s="50"/>
    </row>
    <row r="700" customFormat="false" ht="15" hidden="false" customHeight="false" outlineLevel="0" collapsed="false">
      <c r="A700" s="50" t="s">
        <v>2597</v>
      </c>
      <c r="B700" s="50" t="s">
        <v>2598</v>
      </c>
      <c r="C700" s="50" t="s">
        <v>95</v>
      </c>
      <c r="D700" s="50" t="n">
        <v>2</v>
      </c>
      <c r="E700" s="50" t="s">
        <v>96</v>
      </c>
      <c r="F700" s="50" t="s">
        <v>2599</v>
      </c>
      <c r="G700" s="52" t="s">
        <v>2600</v>
      </c>
      <c r="H700" s="50" t="n">
        <v>1</v>
      </c>
      <c r="I700" s="50"/>
      <c r="K700" s="50"/>
    </row>
    <row r="701" customFormat="false" ht="15" hidden="false" customHeight="false" outlineLevel="0" collapsed="false">
      <c r="A701" s="50" t="s">
        <v>2601</v>
      </c>
      <c r="B701" s="50" t="s">
        <v>2602</v>
      </c>
      <c r="C701" s="50" t="s">
        <v>95</v>
      </c>
      <c r="D701" s="50" t="n">
        <v>2</v>
      </c>
      <c r="E701" s="50" t="s">
        <v>96</v>
      </c>
      <c r="F701" s="50" t="s">
        <v>2603</v>
      </c>
      <c r="G701" s="52" t="s">
        <v>2600</v>
      </c>
      <c r="H701" s="50" t="n">
        <v>1</v>
      </c>
      <c r="I701" s="50"/>
      <c r="K701" s="50"/>
    </row>
    <row r="702" customFormat="false" ht="15" hidden="false" customHeight="false" outlineLevel="0" collapsed="false">
      <c r="A702" s="50" t="s">
        <v>2604</v>
      </c>
      <c r="B702" s="50" t="s">
        <v>2605</v>
      </c>
      <c r="C702" s="50" t="s">
        <v>95</v>
      </c>
      <c r="D702" s="50" t="n">
        <v>2</v>
      </c>
      <c r="E702" s="50" t="s">
        <v>96</v>
      </c>
      <c r="F702" s="50" t="s">
        <v>2606</v>
      </c>
      <c r="G702" s="52" t="s">
        <v>2600</v>
      </c>
      <c r="H702" s="50" t="n">
        <v>1</v>
      </c>
      <c r="I702" s="50"/>
      <c r="K702" s="50"/>
    </row>
    <row r="703" customFormat="false" ht="15" hidden="false" customHeight="false" outlineLevel="0" collapsed="false">
      <c r="A703" s="50" t="s">
        <v>2607</v>
      </c>
      <c r="B703" s="50" t="s">
        <v>2608</v>
      </c>
      <c r="C703" s="50" t="s">
        <v>95</v>
      </c>
      <c r="D703" s="50" t="n">
        <v>2</v>
      </c>
      <c r="E703" s="50" t="s">
        <v>96</v>
      </c>
      <c r="F703" s="50" t="s">
        <v>2609</v>
      </c>
      <c r="G703" s="52" t="s">
        <v>2573</v>
      </c>
      <c r="H703" s="50" t="n">
        <v>1</v>
      </c>
      <c r="I703" s="50"/>
      <c r="K703" s="50"/>
    </row>
    <row r="704" customFormat="false" ht="15" hidden="false" customHeight="false" outlineLevel="0" collapsed="false">
      <c r="A704" s="50" t="s">
        <v>2610</v>
      </c>
      <c r="B704" s="50" t="s">
        <v>2611</v>
      </c>
      <c r="C704" s="50" t="s">
        <v>95</v>
      </c>
      <c r="D704" s="50" t="n">
        <v>2</v>
      </c>
      <c r="E704" s="50" t="s">
        <v>96</v>
      </c>
      <c r="F704" s="50" t="s">
        <v>2612</v>
      </c>
      <c r="G704" s="52" t="s">
        <v>2613</v>
      </c>
      <c r="H704" s="50" t="n">
        <v>1</v>
      </c>
      <c r="I704" s="50"/>
      <c r="K704" s="50"/>
    </row>
    <row r="705" customFormat="false" ht="15" hidden="false" customHeight="false" outlineLevel="0" collapsed="false">
      <c r="A705" s="50" t="s">
        <v>79</v>
      </c>
      <c r="B705" s="50" t="s">
        <v>2614</v>
      </c>
      <c r="C705" s="50" t="s">
        <v>95</v>
      </c>
      <c r="D705" s="50" t="n">
        <v>2</v>
      </c>
      <c r="E705" s="50" t="s">
        <v>96</v>
      </c>
      <c r="F705" s="50" t="s">
        <v>2615</v>
      </c>
      <c r="G705" s="52" t="s">
        <v>2587</v>
      </c>
      <c r="H705" s="50" t="n">
        <v>1</v>
      </c>
      <c r="I705" s="50"/>
      <c r="K705" s="50"/>
    </row>
    <row r="706" customFormat="false" ht="15" hidden="false" customHeight="false" outlineLevel="0" collapsed="false">
      <c r="A706" s="50" t="s">
        <v>80</v>
      </c>
      <c r="B706" s="50" t="s">
        <v>2616</v>
      </c>
      <c r="C706" s="50" t="s">
        <v>95</v>
      </c>
      <c r="D706" s="50" t="n">
        <v>2</v>
      </c>
      <c r="E706" s="50" t="s">
        <v>96</v>
      </c>
      <c r="F706" s="50" t="s">
        <v>2617</v>
      </c>
      <c r="G706" s="52" t="s">
        <v>2618</v>
      </c>
      <c r="H706" s="50" t="n">
        <v>1</v>
      </c>
      <c r="I706" s="50"/>
      <c r="K706" s="50"/>
    </row>
    <row r="707" customFormat="false" ht="15" hidden="false" customHeight="false" outlineLevel="0" collapsed="false">
      <c r="A707" s="50" t="s">
        <v>2619</v>
      </c>
      <c r="B707" s="50" t="s">
        <v>2620</v>
      </c>
      <c r="C707" s="50" t="s">
        <v>95</v>
      </c>
      <c r="D707" s="50" t="n">
        <v>10</v>
      </c>
      <c r="E707" s="50" t="s">
        <v>113</v>
      </c>
      <c r="F707" s="50" t="s">
        <v>2621</v>
      </c>
      <c r="G707" s="52" t="s">
        <v>2618</v>
      </c>
      <c r="H707" s="50" t="n">
        <v>1</v>
      </c>
      <c r="I707" s="50"/>
      <c r="K707" s="50"/>
    </row>
    <row r="708" customFormat="false" ht="15" hidden="false" customHeight="false" outlineLevel="0" collapsed="false">
      <c r="A708" s="50" t="s">
        <v>2622</v>
      </c>
      <c r="B708" s="50" t="s">
        <v>2623</v>
      </c>
      <c r="C708" s="50" t="s">
        <v>95</v>
      </c>
      <c r="D708" s="50" t="n">
        <v>10</v>
      </c>
      <c r="E708" s="50" t="s">
        <v>113</v>
      </c>
      <c r="F708" s="50" t="s">
        <v>2624</v>
      </c>
      <c r="G708" s="52" t="s">
        <v>2618</v>
      </c>
      <c r="H708" s="50" t="n">
        <v>1</v>
      </c>
      <c r="I708" s="50"/>
      <c r="K708" s="50"/>
    </row>
    <row r="709" customFormat="false" ht="15" hidden="false" customHeight="false" outlineLevel="0" collapsed="false">
      <c r="A709" s="50" t="s">
        <v>2625</v>
      </c>
      <c r="B709" s="50" t="s">
        <v>2626</v>
      </c>
      <c r="C709" s="50" t="s">
        <v>95</v>
      </c>
      <c r="D709" s="50" t="n">
        <v>2</v>
      </c>
      <c r="E709" s="50" t="s">
        <v>96</v>
      </c>
      <c r="F709" s="50" t="s">
        <v>2627</v>
      </c>
      <c r="G709" s="52" t="s">
        <v>2613</v>
      </c>
      <c r="H709" s="50" t="n">
        <v>1</v>
      </c>
      <c r="I709" s="50"/>
      <c r="K709" s="50"/>
    </row>
    <row r="710" customFormat="false" ht="15" hidden="false" customHeight="false" outlineLevel="0" collapsed="false">
      <c r="A710" s="50" t="s">
        <v>2628</v>
      </c>
      <c r="B710" s="50" t="s">
        <v>2629</v>
      </c>
      <c r="C710" s="50" t="s">
        <v>95</v>
      </c>
      <c r="D710" s="50" t="n">
        <v>2</v>
      </c>
      <c r="E710" s="50" t="s">
        <v>96</v>
      </c>
      <c r="F710" s="50" t="s">
        <v>2630</v>
      </c>
      <c r="G710" s="52" t="s">
        <v>2631</v>
      </c>
      <c r="H710" s="50" t="n">
        <v>0</v>
      </c>
      <c r="I710" s="50"/>
      <c r="K710" s="50"/>
    </row>
    <row r="711" customFormat="false" ht="15" hidden="false" customHeight="false" outlineLevel="0" collapsed="false">
      <c r="A711" s="50" t="s">
        <v>2632</v>
      </c>
      <c r="B711" s="50" t="s">
        <v>2633</v>
      </c>
      <c r="C711" s="50" t="s">
        <v>95</v>
      </c>
      <c r="D711" s="50" t="n">
        <v>2</v>
      </c>
      <c r="E711" s="50" t="s">
        <v>96</v>
      </c>
      <c r="F711" s="50" t="s">
        <v>2634</v>
      </c>
      <c r="G711" s="52" t="s">
        <v>2631</v>
      </c>
      <c r="H711" s="50" t="n">
        <v>1</v>
      </c>
      <c r="I711" s="50"/>
      <c r="K711" s="50"/>
    </row>
    <row r="712" customFormat="false" ht="15" hidden="false" customHeight="false" outlineLevel="0" collapsed="false">
      <c r="A712" s="50" t="s">
        <v>2635</v>
      </c>
      <c r="B712" s="50" t="s">
        <v>2636</v>
      </c>
      <c r="C712" s="50" t="s">
        <v>95</v>
      </c>
      <c r="D712" s="50" t="n">
        <v>2</v>
      </c>
      <c r="E712" s="50" t="s">
        <v>96</v>
      </c>
      <c r="F712" s="50" t="s">
        <v>2637</v>
      </c>
      <c r="G712" s="52" t="s">
        <v>2631</v>
      </c>
      <c r="H712" s="50" t="n">
        <v>1</v>
      </c>
      <c r="I712" s="50"/>
      <c r="K712" s="50"/>
    </row>
    <row r="713" customFormat="false" ht="15" hidden="false" customHeight="false" outlineLevel="0" collapsed="false">
      <c r="A713" s="50" t="s">
        <v>2638</v>
      </c>
      <c r="B713" s="50" t="s">
        <v>2639</v>
      </c>
      <c r="C713" s="50" t="s">
        <v>95</v>
      </c>
      <c r="D713" s="50" t="n">
        <v>2</v>
      </c>
      <c r="E713" s="50" t="s">
        <v>96</v>
      </c>
      <c r="F713" s="50" t="s">
        <v>2640</v>
      </c>
      <c r="G713" s="52" t="s">
        <v>2641</v>
      </c>
      <c r="H713" s="50" t="n">
        <v>1</v>
      </c>
      <c r="I713" s="50"/>
      <c r="K713" s="50"/>
    </row>
    <row r="714" customFormat="false" ht="15" hidden="false" customHeight="false" outlineLevel="0" collapsed="false">
      <c r="A714" s="50" t="s">
        <v>2642</v>
      </c>
      <c r="B714" s="50" t="s">
        <v>2643</v>
      </c>
      <c r="C714" s="50" t="s">
        <v>95</v>
      </c>
      <c r="D714" s="50" t="n">
        <v>2</v>
      </c>
      <c r="E714" s="50" t="s">
        <v>96</v>
      </c>
      <c r="F714" s="50" t="s">
        <v>2644</v>
      </c>
      <c r="G714" s="52" t="s">
        <v>2600</v>
      </c>
      <c r="H714" s="50" t="n">
        <v>1</v>
      </c>
      <c r="I714" s="50"/>
      <c r="K714" s="50"/>
    </row>
    <row r="715" customFormat="false" ht="15" hidden="false" customHeight="false" outlineLevel="0" collapsed="false">
      <c r="A715" s="50" t="s">
        <v>2645</v>
      </c>
      <c r="B715" s="50" t="s">
        <v>2646</v>
      </c>
      <c r="C715" s="50" t="s">
        <v>95</v>
      </c>
      <c r="D715" s="50" t="n">
        <v>2</v>
      </c>
      <c r="E715" s="50" t="s">
        <v>96</v>
      </c>
      <c r="F715" s="50" t="s">
        <v>2647</v>
      </c>
      <c r="G715" s="52" t="s">
        <v>2600</v>
      </c>
      <c r="H715" s="50" t="n">
        <v>1</v>
      </c>
      <c r="I715" s="50"/>
      <c r="K715" s="50"/>
    </row>
    <row r="716" customFormat="false" ht="15" hidden="false" customHeight="false" outlineLevel="0" collapsed="false">
      <c r="A716" s="50" t="s">
        <v>2648</v>
      </c>
      <c r="B716" s="50" t="s">
        <v>2649</v>
      </c>
      <c r="C716" s="50" t="s">
        <v>95</v>
      </c>
      <c r="D716" s="50" t="n">
        <v>2</v>
      </c>
      <c r="E716" s="50" t="s">
        <v>96</v>
      </c>
      <c r="F716" s="50" t="s">
        <v>2650</v>
      </c>
      <c r="G716" s="52" t="s">
        <v>2600</v>
      </c>
      <c r="H716" s="50" t="n">
        <v>1</v>
      </c>
      <c r="I716" s="50"/>
      <c r="K716" s="50"/>
    </row>
    <row r="717" customFormat="false" ht="15" hidden="false" customHeight="false" outlineLevel="0" collapsed="false">
      <c r="A717" s="50" t="s">
        <v>2651</v>
      </c>
      <c r="B717" s="50" t="s">
        <v>2652</v>
      </c>
      <c r="C717" s="50" t="s">
        <v>95</v>
      </c>
      <c r="D717" s="50" t="n">
        <v>2</v>
      </c>
      <c r="E717" s="50" t="s">
        <v>96</v>
      </c>
      <c r="F717" s="50" t="s">
        <v>2653</v>
      </c>
      <c r="G717" s="52" t="s">
        <v>2654</v>
      </c>
      <c r="H717" s="50" t="n">
        <v>0</v>
      </c>
      <c r="I717" s="50"/>
      <c r="K717" s="50"/>
    </row>
    <row r="718" customFormat="false" ht="15" hidden="false" customHeight="false" outlineLevel="0" collapsed="false">
      <c r="A718" s="50" t="s">
        <v>2655</v>
      </c>
      <c r="B718" s="50" t="s">
        <v>2656</v>
      </c>
      <c r="C718" s="50" t="s">
        <v>95</v>
      </c>
      <c r="D718" s="50" t="n">
        <v>2</v>
      </c>
      <c r="E718" s="50" t="s">
        <v>96</v>
      </c>
      <c r="F718" s="50" t="s">
        <v>2657</v>
      </c>
      <c r="G718" s="52" t="s">
        <v>2658</v>
      </c>
      <c r="H718" s="50" t="n">
        <v>0</v>
      </c>
      <c r="I718" s="50"/>
      <c r="K718" s="50"/>
    </row>
    <row r="719" customFormat="false" ht="15" hidden="false" customHeight="false" outlineLevel="0" collapsed="false">
      <c r="A719" s="50" t="s">
        <v>81</v>
      </c>
      <c r="B719" s="50" t="s">
        <v>2659</v>
      </c>
      <c r="C719" s="50" t="s">
        <v>95</v>
      </c>
      <c r="D719" s="50" t="n">
        <v>2</v>
      </c>
      <c r="E719" s="50" t="s">
        <v>96</v>
      </c>
      <c r="F719" s="50" t="s">
        <v>2660</v>
      </c>
      <c r="G719" s="52" t="s">
        <v>2661</v>
      </c>
      <c r="H719" s="50" t="n">
        <v>12</v>
      </c>
      <c r="I719" s="50"/>
      <c r="K719" s="50"/>
    </row>
    <row r="720" customFormat="false" ht="15" hidden="false" customHeight="false" outlineLevel="0" collapsed="false">
      <c r="A720" s="50" t="s">
        <v>2662</v>
      </c>
      <c r="B720" s="50" t="s">
        <v>2663</v>
      </c>
      <c r="C720" s="50" t="s">
        <v>95</v>
      </c>
      <c r="D720" s="50" t="n">
        <v>2</v>
      </c>
      <c r="E720" s="50" t="s">
        <v>96</v>
      </c>
      <c r="F720" s="50" t="s">
        <v>2664</v>
      </c>
      <c r="G720" s="52" t="s">
        <v>2665</v>
      </c>
      <c r="H720" s="50" t="n">
        <v>4</v>
      </c>
      <c r="I720" s="50"/>
      <c r="K720" s="50"/>
    </row>
    <row r="721" customFormat="false" ht="15" hidden="false" customHeight="false" outlineLevel="0" collapsed="false">
      <c r="A721" s="50" t="s">
        <v>2666</v>
      </c>
      <c r="B721" s="50" t="s">
        <v>2667</v>
      </c>
      <c r="C721" s="50" t="s">
        <v>95</v>
      </c>
      <c r="D721" s="50" t="n">
        <v>2</v>
      </c>
      <c r="E721" s="50" t="s">
        <v>96</v>
      </c>
      <c r="F721" s="50" t="s">
        <v>2668</v>
      </c>
      <c r="G721" s="52" t="s">
        <v>2669</v>
      </c>
      <c r="H721" s="50" t="n">
        <v>1</v>
      </c>
      <c r="I721" s="50"/>
      <c r="K721" s="50"/>
    </row>
    <row r="722" customFormat="false" ht="15" hidden="false" customHeight="false" outlineLevel="0" collapsed="false">
      <c r="A722" s="50" t="s">
        <v>2670</v>
      </c>
      <c r="B722" s="50" t="s">
        <v>2671</v>
      </c>
      <c r="C722" s="50" t="s">
        <v>95</v>
      </c>
      <c r="D722" s="50" t="n">
        <v>2</v>
      </c>
      <c r="E722" s="50" t="s">
        <v>96</v>
      </c>
      <c r="F722" s="50" t="s">
        <v>2672</v>
      </c>
      <c r="G722" s="52" t="s">
        <v>2669</v>
      </c>
      <c r="H722" s="50" t="n">
        <v>1</v>
      </c>
      <c r="I722" s="50"/>
      <c r="K722" s="50"/>
    </row>
    <row r="723" customFormat="false" ht="15" hidden="false" customHeight="false" outlineLevel="0" collapsed="false">
      <c r="A723" s="50" t="s">
        <v>2673</v>
      </c>
      <c r="B723" s="50" t="s">
        <v>2674</v>
      </c>
      <c r="C723" s="50" t="s">
        <v>95</v>
      </c>
      <c r="D723" s="50" t="n">
        <v>2</v>
      </c>
      <c r="E723" s="50" t="s">
        <v>96</v>
      </c>
      <c r="F723" s="50" t="s">
        <v>2675</v>
      </c>
      <c r="G723" s="52" t="s">
        <v>2676</v>
      </c>
      <c r="H723" s="50" t="n">
        <v>1</v>
      </c>
      <c r="I723" s="50"/>
      <c r="K723" s="50"/>
    </row>
    <row r="724" customFormat="false" ht="15" hidden="false" customHeight="false" outlineLevel="0" collapsed="false">
      <c r="A724" s="50" t="s">
        <v>2677</v>
      </c>
      <c r="B724" s="50" t="s">
        <v>2678</v>
      </c>
      <c r="C724" s="50" t="s">
        <v>95</v>
      </c>
      <c r="D724" s="50" t="n">
        <v>2</v>
      </c>
      <c r="E724" s="50" t="s">
        <v>96</v>
      </c>
      <c r="F724" s="50" t="s">
        <v>2679</v>
      </c>
      <c r="G724" s="52" t="s">
        <v>2676</v>
      </c>
      <c r="H724" s="50" t="n">
        <v>1</v>
      </c>
      <c r="I724" s="50"/>
      <c r="K724" s="50"/>
    </row>
    <row r="725" customFormat="false" ht="15" hidden="false" customHeight="false" outlineLevel="0" collapsed="false">
      <c r="A725" s="50" t="s">
        <v>2680</v>
      </c>
      <c r="B725" s="50" t="s">
        <v>2681</v>
      </c>
      <c r="C725" s="50" t="s">
        <v>95</v>
      </c>
      <c r="D725" s="50" t="n">
        <v>2</v>
      </c>
      <c r="E725" s="50" t="s">
        <v>96</v>
      </c>
      <c r="F725" s="50" t="s">
        <v>2682</v>
      </c>
      <c r="G725" s="52" t="s">
        <v>2683</v>
      </c>
      <c r="H725" s="50" t="n">
        <v>1</v>
      </c>
      <c r="I725" s="50"/>
      <c r="K725" s="50"/>
    </row>
    <row r="726" customFormat="false" ht="15" hidden="false" customHeight="false" outlineLevel="0" collapsed="false">
      <c r="A726" s="50" t="s">
        <v>2684</v>
      </c>
      <c r="B726" s="50" t="s">
        <v>2685</v>
      </c>
      <c r="C726" s="50" t="s">
        <v>95</v>
      </c>
      <c r="D726" s="50" t="n">
        <v>2</v>
      </c>
      <c r="E726" s="50" t="s">
        <v>96</v>
      </c>
      <c r="F726" s="50" t="s">
        <v>2686</v>
      </c>
      <c r="G726" s="52" t="s">
        <v>2687</v>
      </c>
      <c r="H726" s="50" t="n">
        <v>1</v>
      </c>
      <c r="I726" s="50"/>
      <c r="K726" s="50"/>
    </row>
    <row r="727" customFormat="false" ht="15" hidden="false" customHeight="false" outlineLevel="0" collapsed="false">
      <c r="A727" s="50" t="s">
        <v>2688</v>
      </c>
      <c r="B727" s="50" t="s">
        <v>2689</v>
      </c>
      <c r="C727" s="50" t="s">
        <v>95</v>
      </c>
      <c r="D727" s="50" t="n">
        <v>20</v>
      </c>
      <c r="E727" s="50" t="s">
        <v>113</v>
      </c>
      <c r="F727" s="50" t="s">
        <v>2690</v>
      </c>
      <c r="G727" s="52" t="s">
        <v>2687</v>
      </c>
      <c r="H727" s="50" t="n">
        <v>1</v>
      </c>
      <c r="I727" s="50"/>
      <c r="K727" s="50"/>
    </row>
    <row r="728" customFormat="false" ht="15" hidden="false" customHeight="false" outlineLevel="0" collapsed="false">
      <c r="A728" s="50" t="s">
        <v>2691</v>
      </c>
      <c r="B728" s="50" t="s">
        <v>2692</v>
      </c>
      <c r="C728" s="50" t="s">
        <v>95</v>
      </c>
      <c r="D728" s="50" t="n">
        <v>20</v>
      </c>
      <c r="E728" s="50" t="s">
        <v>113</v>
      </c>
      <c r="F728" s="50" t="s">
        <v>2693</v>
      </c>
      <c r="G728" s="52" t="s">
        <v>2687</v>
      </c>
      <c r="H728" s="50" t="n">
        <v>1</v>
      </c>
      <c r="I728" s="50"/>
      <c r="K728" s="50"/>
    </row>
    <row r="729" customFormat="false" ht="15" hidden="false" customHeight="false" outlineLevel="0" collapsed="false">
      <c r="A729" s="50" t="s">
        <v>2694</v>
      </c>
      <c r="B729" s="50" t="s">
        <v>2695</v>
      </c>
      <c r="C729" s="50" t="s">
        <v>95</v>
      </c>
      <c r="D729" s="50" t="n">
        <v>20</v>
      </c>
      <c r="E729" s="50" t="s">
        <v>113</v>
      </c>
      <c r="F729" s="50" t="s">
        <v>2696</v>
      </c>
      <c r="G729" s="52" t="s">
        <v>2697</v>
      </c>
      <c r="H729" s="50" t="n">
        <v>1</v>
      </c>
      <c r="I729" s="50"/>
      <c r="K729" s="50"/>
    </row>
    <row r="730" customFormat="false" ht="15" hidden="false" customHeight="false" outlineLevel="0" collapsed="false">
      <c r="A730" s="50" t="s">
        <v>2698</v>
      </c>
      <c r="B730" s="50" t="s">
        <v>2699</v>
      </c>
      <c r="C730" s="50" t="s">
        <v>95</v>
      </c>
      <c r="D730" s="50" t="n">
        <v>20</v>
      </c>
      <c r="E730" s="50" t="s">
        <v>113</v>
      </c>
      <c r="F730" s="50" t="s">
        <v>2700</v>
      </c>
      <c r="G730" s="52" t="s">
        <v>2701</v>
      </c>
      <c r="H730" s="50" t="n">
        <v>1</v>
      </c>
      <c r="I730" s="50"/>
      <c r="K730" s="50"/>
    </row>
    <row r="731" customFormat="false" ht="15" hidden="false" customHeight="false" outlineLevel="0" collapsed="false">
      <c r="A731" s="50" t="s">
        <v>2702</v>
      </c>
      <c r="B731" s="50" t="s">
        <v>2703</v>
      </c>
      <c r="C731" s="50" t="s">
        <v>95</v>
      </c>
      <c r="D731" s="50" t="n">
        <v>20</v>
      </c>
      <c r="E731" s="50" t="s">
        <v>113</v>
      </c>
      <c r="F731" s="50" t="s">
        <v>2704</v>
      </c>
      <c r="G731" s="52" t="s">
        <v>2705</v>
      </c>
      <c r="H731" s="50" t="n">
        <v>1</v>
      </c>
      <c r="I731" s="50"/>
      <c r="K731" s="50"/>
    </row>
    <row r="732" customFormat="false" ht="15" hidden="false" customHeight="false" outlineLevel="0" collapsed="false">
      <c r="A732" s="50" t="s">
        <v>2706</v>
      </c>
      <c r="B732" s="50" t="s">
        <v>2707</v>
      </c>
      <c r="C732" s="50" t="s">
        <v>95</v>
      </c>
      <c r="D732" s="50" t="n">
        <v>2</v>
      </c>
      <c r="E732" s="50" t="s">
        <v>96</v>
      </c>
      <c r="F732" s="50" t="s">
        <v>2708</v>
      </c>
      <c r="G732" s="52" t="s">
        <v>2709</v>
      </c>
      <c r="H732" s="50" t="n">
        <v>0</v>
      </c>
      <c r="I732" s="50"/>
      <c r="K732" s="50"/>
    </row>
    <row r="733" customFormat="false" ht="15" hidden="false" customHeight="false" outlineLevel="0" collapsed="false">
      <c r="A733" s="50" t="s">
        <v>2710</v>
      </c>
      <c r="B733" s="50" t="s">
        <v>2711</v>
      </c>
      <c r="C733" s="50" t="s">
        <v>95</v>
      </c>
      <c r="D733" s="50" t="n">
        <v>2</v>
      </c>
      <c r="E733" s="50" t="s">
        <v>96</v>
      </c>
      <c r="F733" s="50" t="s">
        <v>2712</v>
      </c>
      <c r="G733" s="52" t="s">
        <v>2713</v>
      </c>
      <c r="H733" s="50" t="n">
        <v>0</v>
      </c>
      <c r="I733" s="50"/>
      <c r="K733" s="50"/>
    </row>
    <row r="734" customFormat="false" ht="15" hidden="false" customHeight="false" outlineLevel="0" collapsed="false">
      <c r="A734" s="50" t="s">
        <v>2714</v>
      </c>
      <c r="B734" s="50" t="s">
        <v>2715</v>
      </c>
      <c r="C734" s="50" t="s">
        <v>95</v>
      </c>
      <c r="D734" s="50" t="n">
        <v>2</v>
      </c>
      <c r="E734" s="50" t="s">
        <v>96</v>
      </c>
      <c r="F734" s="50" t="s">
        <v>2716</v>
      </c>
      <c r="G734" s="52" t="s">
        <v>2717</v>
      </c>
      <c r="H734" s="50" t="n">
        <v>0</v>
      </c>
      <c r="I734" s="50"/>
      <c r="K734" s="50"/>
    </row>
    <row r="735" customFormat="false" ht="15" hidden="false" customHeight="false" outlineLevel="0" collapsed="false">
      <c r="A735" s="50" t="s">
        <v>2718</v>
      </c>
      <c r="B735" s="50" t="s">
        <v>2719</v>
      </c>
      <c r="C735" s="50" t="s">
        <v>95</v>
      </c>
      <c r="D735" s="50" t="n">
        <v>20</v>
      </c>
      <c r="E735" s="50" t="s">
        <v>113</v>
      </c>
      <c r="F735" s="50" t="s">
        <v>2720</v>
      </c>
      <c r="G735" s="52" t="s">
        <v>2661</v>
      </c>
      <c r="H735" s="50" t="n">
        <v>12</v>
      </c>
      <c r="I735" s="50"/>
      <c r="K735" s="50"/>
    </row>
    <row r="736" customFormat="false" ht="15" hidden="false" customHeight="false" outlineLevel="0" collapsed="false">
      <c r="A736" s="50" t="s">
        <v>2721</v>
      </c>
      <c r="B736" s="50" t="s">
        <v>2722</v>
      </c>
      <c r="C736" s="50" t="s">
        <v>95</v>
      </c>
      <c r="D736" s="50" t="n">
        <v>2</v>
      </c>
      <c r="E736" s="50" t="s">
        <v>96</v>
      </c>
      <c r="F736" s="50" t="s">
        <v>2723</v>
      </c>
      <c r="G736" s="52" t="s">
        <v>2724</v>
      </c>
      <c r="H736" s="50" t="n">
        <v>150</v>
      </c>
      <c r="I736" s="50"/>
      <c r="K736" s="50"/>
    </row>
    <row r="737" customFormat="false" ht="15" hidden="false" customHeight="false" outlineLevel="0" collapsed="false">
      <c r="A737" s="50" t="s">
        <v>2725</v>
      </c>
      <c r="B737" s="50" t="s">
        <v>2726</v>
      </c>
      <c r="C737" s="50" t="s">
        <v>95</v>
      </c>
      <c r="D737" s="50" t="n">
        <v>2</v>
      </c>
      <c r="E737" s="50" t="s">
        <v>96</v>
      </c>
      <c r="F737" s="50" t="s">
        <v>2727</v>
      </c>
      <c r="G737" s="52" t="s">
        <v>2724</v>
      </c>
      <c r="H737" s="50" t="n">
        <v>1</v>
      </c>
      <c r="I737" s="50"/>
      <c r="K737" s="50"/>
    </row>
    <row r="738" customFormat="false" ht="15" hidden="false" customHeight="false" outlineLevel="0" collapsed="false">
      <c r="A738" s="50" t="s">
        <v>2728</v>
      </c>
      <c r="B738" s="50" t="s">
        <v>2729</v>
      </c>
      <c r="C738" s="50" t="s">
        <v>95</v>
      </c>
      <c r="D738" s="50" t="n">
        <v>2</v>
      </c>
      <c r="E738" s="50" t="s">
        <v>96</v>
      </c>
      <c r="F738" s="50" t="s">
        <v>2730</v>
      </c>
      <c r="G738" s="52" t="s">
        <v>2724</v>
      </c>
      <c r="H738" s="50" t="n">
        <v>1</v>
      </c>
      <c r="I738" s="50"/>
      <c r="K738" s="50"/>
    </row>
    <row r="739" customFormat="false" ht="15" hidden="false" customHeight="false" outlineLevel="0" collapsed="false">
      <c r="A739" s="50" t="s">
        <v>2731</v>
      </c>
      <c r="B739" s="50" t="s">
        <v>2732</v>
      </c>
      <c r="C739" s="50" t="s">
        <v>95</v>
      </c>
      <c r="D739" s="50" t="n">
        <v>2</v>
      </c>
      <c r="E739" s="50" t="s">
        <v>96</v>
      </c>
      <c r="F739" s="50" t="s">
        <v>2733</v>
      </c>
      <c r="G739" s="52" t="s">
        <v>2734</v>
      </c>
      <c r="H739" s="50" t="n">
        <v>60</v>
      </c>
      <c r="I739" s="50"/>
      <c r="K739" s="50"/>
    </row>
    <row r="740" customFormat="false" ht="15" hidden="false" customHeight="false" outlineLevel="0" collapsed="false">
      <c r="A740" s="50" t="s">
        <v>2735</v>
      </c>
      <c r="B740" s="50" t="s">
        <v>2736</v>
      </c>
      <c r="C740" s="50" t="s">
        <v>95</v>
      </c>
      <c r="D740" s="50" t="n">
        <v>2</v>
      </c>
      <c r="E740" s="50" t="s">
        <v>96</v>
      </c>
      <c r="F740" s="50" t="s">
        <v>2737</v>
      </c>
      <c r="G740" s="52" t="s">
        <v>2734</v>
      </c>
      <c r="H740" s="50" t="n">
        <v>36</v>
      </c>
      <c r="I740" s="50"/>
      <c r="K740" s="50"/>
    </row>
    <row r="741" customFormat="false" ht="15" hidden="false" customHeight="false" outlineLevel="0" collapsed="false">
      <c r="A741" s="50" t="s">
        <v>2738</v>
      </c>
      <c r="B741" s="50" t="s">
        <v>2739</v>
      </c>
      <c r="C741" s="50" t="s">
        <v>95</v>
      </c>
      <c r="D741" s="50" t="n">
        <v>2</v>
      </c>
      <c r="E741" s="50" t="s">
        <v>96</v>
      </c>
      <c r="F741" s="50" t="s">
        <v>2740</v>
      </c>
      <c r="G741" s="52" t="s">
        <v>2734</v>
      </c>
      <c r="H741" s="50" t="n">
        <v>36</v>
      </c>
      <c r="I741" s="50"/>
      <c r="K741" s="50"/>
    </row>
    <row r="742" customFormat="false" ht="15" hidden="false" customHeight="false" outlineLevel="0" collapsed="false">
      <c r="A742" s="50" t="s">
        <v>2741</v>
      </c>
      <c r="B742" s="50" t="s">
        <v>2742</v>
      </c>
      <c r="C742" s="50" t="s">
        <v>95</v>
      </c>
      <c r="D742" s="50" t="n">
        <v>2</v>
      </c>
      <c r="E742" s="50" t="s">
        <v>96</v>
      </c>
      <c r="F742" s="50" t="s">
        <v>2743</v>
      </c>
      <c r="G742" s="52" t="s">
        <v>2744</v>
      </c>
      <c r="H742" s="50" t="n">
        <v>60</v>
      </c>
      <c r="I742" s="50"/>
      <c r="K742" s="50"/>
    </row>
    <row r="743" customFormat="false" ht="15" hidden="false" customHeight="false" outlineLevel="0" collapsed="false">
      <c r="A743" s="50" t="s">
        <v>2745</v>
      </c>
      <c r="B743" s="50" t="s">
        <v>2746</v>
      </c>
      <c r="C743" s="50" t="s">
        <v>95</v>
      </c>
      <c r="D743" s="50" t="n">
        <v>2</v>
      </c>
      <c r="E743" s="50" t="s">
        <v>96</v>
      </c>
      <c r="F743" s="50" t="s">
        <v>2747</v>
      </c>
      <c r="G743" s="52" t="s">
        <v>2744</v>
      </c>
      <c r="H743" s="50" t="n">
        <v>45</v>
      </c>
      <c r="I743" s="50"/>
      <c r="K743" s="50"/>
    </row>
    <row r="744" customFormat="false" ht="15" hidden="false" customHeight="false" outlineLevel="0" collapsed="false">
      <c r="A744" s="50" t="s">
        <v>2748</v>
      </c>
      <c r="B744" s="50" t="s">
        <v>2749</v>
      </c>
      <c r="C744" s="50" t="s">
        <v>95</v>
      </c>
      <c r="D744" s="50" t="n">
        <v>2</v>
      </c>
      <c r="E744" s="50" t="s">
        <v>96</v>
      </c>
      <c r="F744" s="50" t="s">
        <v>2750</v>
      </c>
      <c r="G744" s="52" t="s">
        <v>1161</v>
      </c>
      <c r="H744" s="50" t="n">
        <v>30</v>
      </c>
      <c r="I744" s="50"/>
      <c r="K744" s="50"/>
    </row>
    <row r="745" customFormat="false" ht="15" hidden="false" customHeight="false" outlineLevel="0" collapsed="false">
      <c r="A745" s="50" t="s">
        <v>2751</v>
      </c>
      <c r="B745" s="50" t="s">
        <v>2752</v>
      </c>
      <c r="C745" s="50" t="s">
        <v>95</v>
      </c>
      <c r="D745" s="50" t="n">
        <v>2</v>
      </c>
      <c r="E745" s="50" t="s">
        <v>96</v>
      </c>
      <c r="F745" s="50" t="s">
        <v>2753</v>
      </c>
      <c r="G745" s="52" t="s">
        <v>2754</v>
      </c>
      <c r="H745" s="50" t="n">
        <v>140</v>
      </c>
      <c r="I745" s="50"/>
      <c r="K745" s="50"/>
    </row>
    <row r="746" customFormat="false" ht="15" hidden="false" customHeight="false" outlineLevel="0" collapsed="false">
      <c r="A746" s="50" t="s">
        <v>2755</v>
      </c>
      <c r="B746" s="50" t="s">
        <v>2756</v>
      </c>
      <c r="C746" s="50" t="s">
        <v>95</v>
      </c>
      <c r="D746" s="50" t="n">
        <v>2</v>
      </c>
      <c r="E746" s="50" t="s">
        <v>96</v>
      </c>
      <c r="F746" s="50" t="s">
        <v>2757</v>
      </c>
      <c r="G746" s="52" t="s">
        <v>2758</v>
      </c>
      <c r="H746" s="50" t="n">
        <v>100</v>
      </c>
      <c r="I746" s="50"/>
      <c r="K746" s="50"/>
    </row>
    <row r="747" customFormat="false" ht="15" hidden="false" customHeight="false" outlineLevel="0" collapsed="false">
      <c r="A747" s="50" t="s">
        <v>2759</v>
      </c>
      <c r="B747" s="50" t="s">
        <v>2760</v>
      </c>
      <c r="C747" s="50" t="s">
        <v>95</v>
      </c>
      <c r="D747" s="50" t="n">
        <v>2</v>
      </c>
      <c r="E747" s="50" t="s">
        <v>96</v>
      </c>
      <c r="F747" s="50" t="s">
        <v>2761</v>
      </c>
      <c r="G747" s="52" t="s">
        <v>2758</v>
      </c>
      <c r="H747" s="50" t="n">
        <v>100</v>
      </c>
      <c r="I747" s="50"/>
      <c r="K747" s="50"/>
    </row>
    <row r="748" customFormat="false" ht="15" hidden="false" customHeight="false" outlineLevel="0" collapsed="false">
      <c r="A748" s="50" t="s">
        <v>2762</v>
      </c>
      <c r="B748" s="50" t="s">
        <v>2763</v>
      </c>
      <c r="C748" s="50" t="s">
        <v>95</v>
      </c>
      <c r="D748" s="50" t="n">
        <v>2</v>
      </c>
      <c r="E748" s="50" t="s">
        <v>96</v>
      </c>
      <c r="F748" s="50" t="s">
        <v>2764</v>
      </c>
      <c r="G748" s="52" t="s">
        <v>2758</v>
      </c>
      <c r="H748" s="50" t="n">
        <v>100</v>
      </c>
      <c r="I748" s="50"/>
      <c r="K748" s="50"/>
    </row>
    <row r="749" customFormat="false" ht="15" hidden="false" customHeight="false" outlineLevel="0" collapsed="false">
      <c r="A749" s="50" t="s">
        <v>2765</v>
      </c>
      <c r="B749" s="50" t="s">
        <v>2766</v>
      </c>
      <c r="C749" s="50" t="s">
        <v>95</v>
      </c>
      <c r="D749" s="50" t="n">
        <v>2</v>
      </c>
      <c r="E749" s="50" t="s">
        <v>96</v>
      </c>
      <c r="F749" s="50" t="s">
        <v>2767</v>
      </c>
      <c r="G749" s="52" t="s">
        <v>2768</v>
      </c>
      <c r="H749" s="50" t="n">
        <v>42</v>
      </c>
      <c r="I749" s="50"/>
      <c r="K749" s="50"/>
    </row>
    <row r="750" customFormat="false" ht="15" hidden="false" customHeight="false" outlineLevel="0" collapsed="false">
      <c r="A750" s="50" t="s">
        <v>2769</v>
      </c>
      <c r="B750" s="50" t="s">
        <v>2770</v>
      </c>
      <c r="C750" s="50" t="s">
        <v>95</v>
      </c>
      <c r="D750" s="50" t="n">
        <v>2</v>
      </c>
      <c r="E750" s="50" t="s">
        <v>96</v>
      </c>
      <c r="F750" s="50" t="s">
        <v>2771</v>
      </c>
      <c r="G750" s="52" t="s">
        <v>2772</v>
      </c>
      <c r="H750" s="50" t="n">
        <v>48</v>
      </c>
      <c r="I750" s="50"/>
      <c r="K750" s="50"/>
    </row>
    <row r="751" customFormat="false" ht="25.5" hidden="false" customHeight="false" outlineLevel="0" collapsed="false">
      <c r="A751" s="50" t="s">
        <v>2773</v>
      </c>
      <c r="B751" s="50" t="s">
        <v>2774</v>
      </c>
      <c r="C751" s="50" t="s">
        <v>95</v>
      </c>
      <c r="D751" s="50" t="n">
        <v>2</v>
      </c>
      <c r="E751" s="50" t="s">
        <v>96</v>
      </c>
      <c r="F751" s="50" t="s">
        <v>2775</v>
      </c>
      <c r="G751" s="52" t="s">
        <v>425</v>
      </c>
      <c r="H751" s="50" t="n">
        <v>8</v>
      </c>
      <c r="I751" s="50"/>
      <c r="K751" s="50"/>
    </row>
    <row r="752" customFormat="false" ht="25.5" hidden="false" customHeight="false" outlineLevel="0" collapsed="false">
      <c r="A752" s="50" t="s">
        <v>2776</v>
      </c>
      <c r="B752" s="50" t="s">
        <v>2777</v>
      </c>
      <c r="C752" s="50" t="s">
        <v>95</v>
      </c>
      <c r="D752" s="50" t="n">
        <v>2</v>
      </c>
      <c r="E752" s="50" t="s">
        <v>96</v>
      </c>
      <c r="F752" s="50" t="s">
        <v>2778</v>
      </c>
      <c r="G752" s="52" t="s">
        <v>425</v>
      </c>
      <c r="H752" s="50" t="n">
        <v>8</v>
      </c>
      <c r="I752" s="50"/>
      <c r="K752" s="50"/>
    </row>
    <row r="753" customFormat="false" ht="15" hidden="false" customHeight="false" outlineLevel="0" collapsed="false">
      <c r="A753" s="50" t="s">
        <v>2779</v>
      </c>
      <c r="B753" s="50" t="s">
        <v>2780</v>
      </c>
      <c r="C753" s="50" t="s">
        <v>95</v>
      </c>
      <c r="D753" s="50" t="n">
        <v>2</v>
      </c>
      <c r="E753" s="50" t="s">
        <v>96</v>
      </c>
      <c r="F753" s="50" t="s">
        <v>2781</v>
      </c>
      <c r="G753" s="52" t="s">
        <v>2782</v>
      </c>
      <c r="H753" s="50" t="n">
        <v>528</v>
      </c>
      <c r="I753" s="50"/>
      <c r="K753" s="50"/>
    </row>
    <row r="754" customFormat="false" ht="25.5" hidden="false" customHeight="false" outlineLevel="0" collapsed="false">
      <c r="A754" s="50" t="s">
        <v>2783</v>
      </c>
      <c r="B754" s="50" t="s">
        <v>2784</v>
      </c>
      <c r="C754" s="50" t="s">
        <v>95</v>
      </c>
      <c r="D754" s="50" t="n">
        <v>2</v>
      </c>
      <c r="E754" s="50" t="s">
        <v>96</v>
      </c>
      <c r="F754" s="50" t="s">
        <v>2785</v>
      </c>
      <c r="G754" s="52" t="s">
        <v>425</v>
      </c>
      <c r="H754" s="50" t="n">
        <v>30</v>
      </c>
      <c r="I754" s="50"/>
      <c r="K754" s="50"/>
    </row>
    <row r="755" customFormat="false" ht="15" hidden="false" customHeight="false" outlineLevel="0" collapsed="false">
      <c r="A755" s="50" t="s">
        <v>2786</v>
      </c>
      <c r="B755" s="50" t="s">
        <v>2787</v>
      </c>
      <c r="C755" s="50" t="s">
        <v>95</v>
      </c>
      <c r="D755" s="50" t="n">
        <v>2</v>
      </c>
      <c r="E755" s="50" t="s">
        <v>96</v>
      </c>
      <c r="F755" s="50" t="s">
        <v>2788</v>
      </c>
      <c r="G755" s="52" t="s">
        <v>191</v>
      </c>
      <c r="H755" s="50" t="n">
        <v>240</v>
      </c>
      <c r="I755" s="50"/>
      <c r="K755" s="50"/>
    </row>
    <row r="756" customFormat="false" ht="15" hidden="false" customHeight="false" outlineLevel="0" collapsed="false">
      <c r="A756" s="50" t="s">
        <v>2789</v>
      </c>
      <c r="B756" s="50" t="s">
        <v>2790</v>
      </c>
      <c r="C756" s="50" t="s">
        <v>95</v>
      </c>
      <c r="D756" s="50" t="n">
        <v>2</v>
      </c>
      <c r="E756" s="50" t="s">
        <v>96</v>
      </c>
      <c r="F756" s="50" t="s">
        <v>2791</v>
      </c>
      <c r="G756" s="52" t="s">
        <v>2792</v>
      </c>
      <c r="H756" s="50" t="n">
        <v>784</v>
      </c>
      <c r="I756" s="50"/>
      <c r="K756" s="50"/>
    </row>
    <row r="757" customFormat="false" ht="15" hidden="false" customHeight="false" outlineLevel="0" collapsed="false">
      <c r="A757" s="50" t="s">
        <v>2793</v>
      </c>
      <c r="B757" s="50" t="s">
        <v>2794</v>
      </c>
      <c r="C757" s="50" t="s">
        <v>95</v>
      </c>
      <c r="D757" s="50" t="n">
        <v>2</v>
      </c>
      <c r="E757" s="50" t="s">
        <v>96</v>
      </c>
      <c r="F757" s="50" t="s">
        <v>2795</v>
      </c>
      <c r="G757" s="52" t="s">
        <v>1439</v>
      </c>
      <c r="H757" s="50" t="n">
        <v>0</v>
      </c>
      <c r="I757" s="50"/>
      <c r="K757" s="50"/>
    </row>
    <row r="758" customFormat="false" ht="15" hidden="false" customHeight="false" outlineLevel="0" collapsed="false">
      <c r="A758" s="50" t="s">
        <v>2796</v>
      </c>
      <c r="B758" s="50" t="s">
        <v>2797</v>
      </c>
      <c r="C758" s="50" t="s">
        <v>95</v>
      </c>
      <c r="D758" s="50" t="n">
        <v>2</v>
      </c>
      <c r="E758" s="50" t="s">
        <v>96</v>
      </c>
      <c r="F758" s="50" t="s">
        <v>2798</v>
      </c>
      <c r="G758" s="52" t="s">
        <v>2799</v>
      </c>
      <c r="H758" s="50" t="n">
        <v>100</v>
      </c>
      <c r="I758" s="50"/>
      <c r="K758" s="50"/>
    </row>
    <row r="759" customFormat="false" ht="25.5" hidden="false" customHeight="false" outlineLevel="0" collapsed="false">
      <c r="A759" s="50" t="s">
        <v>2800</v>
      </c>
      <c r="B759" s="50" t="s">
        <v>2801</v>
      </c>
      <c r="C759" s="50" t="s">
        <v>95</v>
      </c>
      <c r="D759" s="50" t="n">
        <v>2</v>
      </c>
      <c r="E759" s="50" t="s">
        <v>96</v>
      </c>
      <c r="F759" s="50" t="s">
        <v>2802</v>
      </c>
      <c r="G759" s="52" t="s">
        <v>2803</v>
      </c>
      <c r="H759" s="50" t="n">
        <v>0</v>
      </c>
      <c r="I759" s="50"/>
      <c r="K759" s="50"/>
    </row>
    <row r="760" customFormat="false" ht="25.5" hidden="false" customHeight="false" outlineLevel="0" collapsed="false">
      <c r="A760" s="50" t="s">
        <v>2804</v>
      </c>
      <c r="B760" s="50" t="s">
        <v>2805</v>
      </c>
      <c r="C760" s="50" t="s">
        <v>95</v>
      </c>
      <c r="D760" s="50" t="n">
        <v>2</v>
      </c>
      <c r="E760" s="50" t="s">
        <v>96</v>
      </c>
      <c r="F760" s="50" t="s">
        <v>2806</v>
      </c>
      <c r="G760" s="52" t="s">
        <v>2807</v>
      </c>
      <c r="H760" s="50" t="n">
        <v>0</v>
      </c>
      <c r="I760" s="50"/>
      <c r="K760" s="50"/>
    </row>
    <row r="761" customFormat="false" ht="25.5" hidden="false" customHeight="false" outlineLevel="0" collapsed="false">
      <c r="A761" s="50" t="s">
        <v>2808</v>
      </c>
      <c r="B761" s="50" t="s">
        <v>2809</v>
      </c>
      <c r="C761" s="50" t="s">
        <v>95</v>
      </c>
      <c r="D761" s="50" t="n">
        <v>2</v>
      </c>
      <c r="E761" s="50" t="s">
        <v>96</v>
      </c>
      <c r="F761" s="50" t="s">
        <v>2810</v>
      </c>
      <c r="G761" s="52" t="s">
        <v>2811</v>
      </c>
      <c r="H761" s="50" t="n">
        <v>0</v>
      </c>
      <c r="I761" s="50"/>
      <c r="K761" s="50"/>
    </row>
    <row r="762" customFormat="false" ht="25.5" hidden="false" customHeight="false" outlineLevel="0" collapsed="false">
      <c r="A762" s="50" t="s">
        <v>2812</v>
      </c>
      <c r="B762" s="50" t="s">
        <v>2813</v>
      </c>
      <c r="C762" s="50" t="s">
        <v>95</v>
      </c>
      <c r="D762" s="50" t="n">
        <v>2</v>
      </c>
      <c r="E762" s="50" t="s">
        <v>96</v>
      </c>
      <c r="F762" s="50" t="s">
        <v>2814</v>
      </c>
      <c r="G762" s="52" t="s">
        <v>2815</v>
      </c>
      <c r="H762" s="50" t="n">
        <v>0</v>
      </c>
      <c r="I762" s="50"/>
      <c r="K762" s="50"/>
    </row>
    <row r="763" customFormat="false" ht="15" hidden="false" customHeight="false" outlineLevel="0" collapsed="false">
      <c r="A763" s="50" t="s">
        <v>2816</v>
      </c>
      <c r="B763" s="50" t="s">
        <v>2817</v>
      </c>
      <c r="C763" s="50" t="s">
        <v>95</v>
      </c>
      <c r="D763" s="50" t="n">
        <v>20</v>
      </c>
      <c r="E763" s="50" t="s">
        <v>113</v>
      </c>
      <c r="F763" s="50" t="s">
        <v>2818</v>
      </c>
      <c r="G763" s="52" t="s">
        <v>2819</v>
      </c>
      <c r="H763" s="50" t="n">
        <v>0</v>
      </c>
      <c r="I763" s="50"/>
      <c r="K763" s="50"/>
    </row>
    <row r="764" customFormat="false" ht="15" hidden="false" customHeight="false" outlineLevel="0" collapsed="false">
      <c r="A764" s="50" t="s">
        <v>2820</v>
      </c>
      <c r="B764" s="50" t="s">
        <v>2821</v>
      </c>
      <c r="C764" s="50" t="s">
        <v>95</v>
      </c>
      <c r="D764" s="50" t="n">
        <v>2</v>
      </c>
      <c r="E764" s="50" t="s">
        <v>96</v>
      </c>
      <c r="F764" s="50" t="s">
        <v>2822</v>
      </c>
      <c r="G764" s="52" t="s">
        <v>2823</v>
      </c>
      <c r="H764" s="50" t="n">
        <v>0</v>
      </c>
      <c r="I764" s="50"/>
      <c r="K764" s="50"/>
    </row>
    <row r="765" customFormat="false" ht="15" hidden="false" customHeight="false" outlineLevel="0" collapsed="false">
      <c r="A765" s="50" t="s">
        <v>2824</v>
      </c>
      <c r="B765" s="50" t="s">
        <v>2825</v>
      </c>
      <c r="C765" s="50" t="s">
        <v>95</v>
      </c>
      <c r="D765" s="50" t="n">
        <v>2</v>
      </c>
      <c r="E765" s="50" t="s">
        <v>96</v>
      </c>
      <c r="F765" s="50" t="s">
        <v>2826</v>
      </c>
      <c r="G765" s="52" t="s">
        <v>946</v>
      </c>
      <c r="H765" s="50" t="n">
        <v>0</v>
      </c>
      <c r="I765" s="50"/>
      <c r="K765" s="50"/>
    </row>
    <row r="766" customFormat="false" ht="15" hidden="false" customHeight="false" outlineLevel="0" collapsed="false">
      <c r="A766" s="50" t="s">
        <v>2827</v>
      </c>
      <c r="B766" s="50" t="s">
        <v>2828</v>
      </c>
      <c r="C766" s="50" t="s">
        <v>95</v>
      </c>
      <c r="D766" s="50" t="n">
        <v>2</v>
      </c>
      <c r="E766" s="50" t="s">
        <v>96</v>
      </c>
      <c r="F766" s="50" t="s">
        <v>2829</v>
      </c>
      <c r="G766" s="52" t="s">
        <v>2830</v>
      </c>
      <c r="H766" s="50" t="n">
        <v>0</v>
      </c>
      <c r="I766" s="50"/>
      <c r="K766" s="50"/>
    </row>
    <row r="767" customFormat="false" ht="15" hidden="false" customHeight="false" outlineLevel="0" collapsed="false">
      <c r="A767" s="50" t="s">
        <v>2831</v>
      </c>
      <c r="B767" s="50" t="s">
        <v>2832</v>
      </c>
      <c r="C767" s="50" t="s">
        <v>95</v>
      </c>
      <c r="D767" s="50" t="n">
        <v>2</v>
      </c>
      <c r="E767" s="50" t="s">
        <v>96</v>
      </c>
      <c r="F767" s="50" t="s">
        <v>2833</v>
      </c>
      <c r="G767" s="52" t="s">
        <v>2834</v>
      </c>
      <c r="H767" s="50" t="n">
        <v>0</v>
      </c>
      <c r="I767" s="50"/>
      <c r="K767" s="50"/>
    </row>
    <row r="768" customFormat="false" ht="15" hidden="false" customHeight="false" outlineLevel="0" collapsed="false">
      <c r="A768" s="50" t="s">
        <v>2835</v>
      </c>
      <c r="B768" s="50" t="s">
        <v>2836</v>
      </c>
      <c r="C768" s="50" t="s">
        <v>95</v>
      </c>
      <c r="D768" s="50" t="n">
        <v>2</v>
      </c>
      <c r="E768" s="50" t="s">
        <v>96</v>
      </c>
      <c r="F768" s="50" t="s">
        <v>2837</v>
      </c>
      <c r="G768" s="52" t="s">
        <v>2838</v>
      </c>
      <c r="H768" s="50" t="n">
        <v>0</v>
      </c>
      <c r="I768" s="50"/>
      <c r="K768" s="50"/>
    </row>
    <row r="769" customFormat="false" ht="25.5" hidden="false" customHeight="false" outlineLevel="0" collapsed="false">
      <c r="A769" s="50" t="s">
        <v>2839</v>
      </c>
      <c r="B769" s="50" t="s">
        <v>2840</v>
      </c>
      <c r="C769" s="50" t="s">
        <v>95</v>
      </c>
      <c r="D769" s="50" t="n">
        <v>2</v>
      </c>
      <c r="E769" s="50" t="s">
        <v>96</v>
      </c>
      <c r="F769" s="50" t="s">
        <v>2841</v>
      </c>
      <c r="G769" s="52" t="s">
        <v>2842</v>
      </c>
      <c r="H769" s="50" t="n">
        <v>0</v>
      </c>
      <c r="I769" s="50"/>
      <c r="K769" s="50"/>
    </row>
    <row r="770" customFormat="false" ht="25.5" hidden="false" customHeight="false" outlineLevel="0" collapsed="false">
      <c r="A770" s="50" t="s">
        <v>2843</v>
      </c>
      <c r="B770" s="50" t="s">
        <v>2844</v>
      </c>
      <c r="C770" s="50" t="s">
        <v>95</v>
      </c>
      <c r="D770" s="50" t="n">
        <v>2</v>
      </c>
      <c r="E770" s="50" t="s">
        <v>96</v>
      </c>
      <c r="F770" s="50" t="s">
        <v>2845</v>
      </c>
      <c r="G770" s="52" t="s">
        <v>2846</v>
      </c>
      <c r="H770" s="50" t="n">
        <v>0</v>
      </c>
      <c r="I770" s="50"/>
      <c r="K770" s="50"/>
    </row>
    <row r="771" customFormat="false" ht="15" hidden="false" customHeight="false" outlineLevel="0" collapsed="false">
      <c r="A771" s="50" t="s">
        <v>2847</v>
      </c>
      <c r="B771" s="50" t="s">
        <v>2848</v>
      </c>
      <c r="C771" s="50" t="s">
        <v>95</v>
      </c>
      <c r="D771" s="50" t="n">
        <v>2</v>
      </c>
      <c r="E771" s="50" t="s">
        <v>96</v>
      </c>
      <c r="F771" s="50" t="s">
        <v>2849</v>
      </c>
      <c r="G771" s="52" t="s">
        <v>2850</v>
      </c>
      <c r="H771" s="50" t="n">
        <v>0</v>
      </c>
      <c r="I771" s="50"/>
      <c r="K771" s="50"/>
    </row>
    <row r="772" customFormat="false" ht="25.5" hidden="false" customHeight="false" outlineLevel="0" collapsed="false">
      <c r="A772" s="50" t="s">
        <v>2851</v>
      </c>
      <c r="B772" s="50" t="s">
        <v>2852</v>
      </c>
      <c r="C772" s="50" t="s">
        <v>95</v>
      </c>
      <c r="D772" s="50" t="n">
        <v>20</v>
      </c>
      <c r="E772" s="50" t="s">
        <v>113</v>
      </c>
      <c r="F772" s="50" t="s">
        <v>2853</v>
      </c>
      <c r="G772" s="52" t="s">
        <v>2854</v>
      </c>
      <c r="H772" s="50" t="n">
        <v>0</v>
      </c>
      <c r="I772" s="50"/>
      <c r="K772" s="50"/>
    </row>
    <row r="773" customFormat="false" ht="25.5" hidden="false" customHeight="false" outlineLevel="0" collapsed="false">
      <c r="A773" s="50" t="s">
        <v>2855</v>
      </c>
      <c r="B773" s="50" t="s">
        <v>2856</v>
      </c>
      <c r="C773" s="50" t="s">
        <v>95</v>
      </c>
      <c r="D773" s="50" t="n">
        <v>20</v>
      </c>
      <c r="E773" s="50" t="s">
        <v>113</v>
      </c>
      <c r="F773" s="50" t="s">
        <v>2857</v>
      </c>
      <c r="G773" s="52" t="s">
        <v>2858</v>
      </c>
      <c r="H773" s="50" t="n">
        <v>0</v>
      </c>
      <c r="I773" s="50"/>
      <c r="K773" s="50"/>
    </row>
    <row r="774" customFormat="false" ht="25.5" hidden="false" customHeight="false" outlineLevel="0" collapsed="false">
      <c r="A774" s="50" t="s">
        <v>2859</v>
      </c>
      <c r="B774" s="50" t="s">
        <v>2860</v>
      </c>
      <c r="C774" s="50" t="s">
        <v>95</v>
      </c>
      <c r="D774" s="50" t="n">
        <v>2</v>
      </c>
      <c r="E774" s="50" t="s">
        <v>96</v>
      </c>
      <c r="F774" s="50" t="s">
        <v>2861</v>
      </c>
      <c r="G774" s="52" t="s">
        <v>2862</v>
      </c>
      <c r="H774" s="50" t="n">
        <v>0</v>
      </c>
      <c r="I774" s="50"/>
      <c r="K774" s="50"/>
    </row>
    <row r="775" customFormat="false" ht="25.5" hidden="false" customHeight="false" outlineLevel="0" collapsed="false">
      <c r="A775" s="50" t="s">
        <v>2863</v>
      </c>
      <c r="B775" s="50" t="s">
        <v>2864</v>
      </c>
      <c r="C775" s="50" t="s">
        <v>95</v>
      </c>
      <c r="D775" s="50" t="n">
        <v>2</v>
      </c>
      <c r="E775" s="50" t="s">
        <v>96</v>
      </c>
      <c r="F775" s="50" t="s">
        <v>2865</v>
      </c>
      <c r="G775" s="52" t="s">
        <v>2866</v>
      </c>
      <c r="H775" s="50" t="n">
        <v>0</v>
      </c>
      <c r="I775" s="50"/>
      <c r="K775" s="50"/>
    </row>
    <row r="776" customFormat="false" ht="15" hidden="false" customHeight="false" outlineLevel="0" collapsed="false">
      <c r="A776" s="50" t="s">
        <v>2867</v>
      </c>
      <c r="B776" s="50" t="s">
        <v>2868</v>
      </c>
      <c r="C776" s="50" t="s">
        <v>95</v>
      </c>
      <c r="D776" s="50" t="n">
        <v>20</v>
      </c>
      <c r="E776" s="50" t="s">
        <v>113</v>
      </c>
      <c r="F776" s="50" t="s">
        <v>2869</v>
      </c>
      <c r="G776" s="52" t="s">
        <v>2870</v>
      </c>
      <c r="H776" s="50" t="n">
        <v>0</v>
      </c>
      <c r="I776" s="50"/>
      <c r="K776" s="50"/>
    </row>
    <row r="777" customFormat="false" ht="15" hidden="false" customHeight="false" outlineLevel="0" collapsed="false">
      <c r="A777" s="50" t="s">
        <v>2871</v>
      </c>
      <c r="B777" s="50" t="s">
        <v>2872</v>
      </c>
      <c r="C777" s="50" t="s">
        <v>95</v>
      </c>
      <c r="D777" s="50" t="n">
        <v>2</v>
      </c>
      <c r="E777" s="50" t="s">
        <v>96</v>
      </c>
      <c r="F777" s="50" t="s">
        <v>2873</v>
      </c>
      <c r="G777" s="52" t="s">
        <v>2874</v>
      </c>
      <c r="H777" s="50" t="n">
        <v>0</v>
      </c>
      <c r="I777" s="50"/>
      <c r="K777" s="50"/>
    </row>
    <row r="778" customFormat="false" ht="15" hidden="false" customHeight="false" outlineLevel="0" collapsed="false">
      <c r="A778" s="50" t="s">
        <v>2875</v>
      </c>
      <c r="B778" s="50" t="s">
        <v>2876</v>
      </c>
      <c r="C778" s="50" t="s">
        <v>95</v>
      </c>
      <c r="D778" s="50" t="n">
        <v>20</v>
      </c>
      <c r="E778" s="50" t="s">
        <v>113</v>
      </c>
      <c r="F778" s="50" t="s">
        <v>2877</v>
      </c>
      <c r="G778" s="52" t="s">
        <v>2878</v>
      </c>
      <c r="H778" s="50" t="n">
        <v>0</v>
      </c>
      <c r="I778" s="50"/>
      <c r="K778" s="50"/>
    </row>
    <row r="779" customFormat="false" ht="15" hidden="false" customHeight="false" outlineLevel="0" collapsed="false">
      <c r="A779" s="50" t="s">
        <v>2879</v>
      </c>
      <c r="B779" s="50" t="s">
        <v>2880</v>
      </c>
      <c r="C779" s="50" t="s">
        <v>95</v>
      </c>
      <c r="D779" s="50" t="n">
        <v>2</v>
      </c>
      <c r="E779" s="50" t="s">
        <v>96</v>
      </c>
      <c r="F779" s="50" t="s">
        <v>2881</v>
      </c>
      <c r="G779" s="52" t="s">
        <v>2882</v>
      </c>
      <c r="H779" s="50" t="n">
        <v>0</v>
      </c>
      <c r="I779" s="50"/>
      <c r="K779" s="50"/>
    </row>
    <row r="780" customFormat="false" ht="15" hidden="false" customHeight="false" outlineLevel="0" collapsed="false">
      <c r="A780" s="50" t="s">
        <v>2883</v>
      </c>
      <c r="B780" s="50" t="s">
        <v>2884</v>
      </c>
      <c r="C780" s="50" t="s">
        <v>95</v>
      </c>
      <c r="D780" s="50" t="n">
        <v>2</v>
      </c>
      <c r="E780" s="50" t="s">
        <v>96</v>
      </c>
      <c r="F780" s="50" t="s">
        <v>2885</v>
      </c>
      <c r="G780" s="52" t="s">
        <v>2886</v>
      </c>
      <c r="H780" s="50" t="n">
        <v>0</v>
      </c>
      <c r="I780" s="50"/>
      <c r="K780" s="50"/>
    </row>
    <row r="781" customFormat="false" ht="25.5" hidden="false" customHeight="false" outlineLevel="0" collapsed="false">
      <c r="A781" s="50" t="s">
        <v>2887</v>
      </c>
      <c r="B781" s="50" t="s">
        <v>2888</v>
      </c>
      <c r="C781" s="50" t="s">
        <v>95</v>
      </c>
      <c r="D781" s="50" t="n">
        <v>20</v>
      </c>
      <c r="E781" s="50" t="s">
        <v>113</v>
      </c>
      <c r="F781" s="50" t="s">
        <v>2889</v>
      </c>
      <c r="G781" s="52" t="s">
        <v>2890</v>
      </c>
      <c r="H781" s="50" t="n">
        <v>0</v>
      </c>
      <c r="I781" s="50"/>
      <c r="K781" s="50"/>
    </row>
    <row r="782" customFormat="false" ht="15" hidden="false" customHeight="false" outlineLevel="0" collapsed="false">
      <c r="A782" s="50" t="s">
        <v>2891</v>
      </c>
      <c r="B782" s="50" t="s">
        <v>2892</v>
      </c>
      <c r="C782" s="50" t="s">
        <v>95</v>
      </c>
      <c r="D782" s="50" t="n">
        <v>2</v>
      </c>
      <c r="E782" s="50" t="s">
        <v>96</v>
      </c>
      <c r="F782" s="50" t="s">
        <v>2893</v>
      </c>
      <c r="G782" s="52" t="s">
        <v>2894</v>
      </c>
      <c r="H782" s="50" t="n">
        <v>0</v>
      </c>
      <c r="I782" s="50"/>
      <c r="K782" s="50"/>
    </row>
    <row r="783" customFormat="false" ht="25.5" hidden="false" customHeight="false" outlineLevel="0" collapsed="false">
      <c r="A783" s="50" t="s">
        <v>2895</v>
      </c>
      <c r="B783" s="50" t="s">
        <v>2896</v>
      </c>
      <c r="C783" s="50" t="s">
        <v>95</v>
      </c>
      <c r="D783" s="50" t="n">
        <v>20</v>
      </c>
      <c r="E783" s="50" t="s">
        <v>113</v>
      </c>
      <c r="F783" s="50" t="s">
        <v>2897</v>
      </c>
      <c r="G783" s="52" t="s">
        <v>2898</v>
      </c>
      <c r="H783" s="50" t="n">
        <v>0</v>
      </c>
      <c r="I783" s="50"/>
      <c r="K783" s="50"/>
    </row>
    <row r="784" customFormat="false" ht="25.5" hidden="false" customHeight="false" outlineLevel="0" collapsed="false">
      <c r="A784" s="50" t="s">
        <v>2899</v>
      </c>
      <c r="B784" s="50" t="s">
        <v>2900</v>
      </c>
      <c r="C784" s="50" t="s">
        <v>95</v>
      </c>
      <c r="D784" s="50" t="n">
        <v>20</v>
      </c>
      <c r="E784" s="50" t="s">
        <v>113</v>
      </c>
      <c r="F784" s="50" t="s">
        <v>2901</v>
      </c>
      <c r="G784" s="52" t="s">
        <v>2902</v>
      </c>
      <c r="H784" s="50" t="n">
        <v>0</v>
      </c>
      <c r="I784" s="50"/>
      <c r="K784" s="50"/>
    </row>
    <row r="785" customFormat="false" ht="25.5" hidden="false" customHeight="false" outlineLevel="0" collapsed="false">
      <c r="A785" s="50" t="s">
        <v>2903</v>
      </c>
      <c r="B785" s="50" t="s">
        <v>2904</v>
      </c>
      <c r="C785" s="50" t="s">
        <v>95</v>
      </c>
      <c r="D785" s="50" t="n">
        <v>20</v>
      </c>
      <c r="E785" s="50" t="s">
        <v>113</v>
      </c>
      <c r="F785" s="50" t="s">
        <v>2905</v>
      </c>
      <c r="G785" s="52" t="s">
        <v>2906</v>
      </c>
      <c r="H785" s="50" t="n">
        <v>0</v>
      </c>
      <c r="I785" s="50"/>
      <c r="K785" s="50"/>
    </row>
    <row r="786" customFormat="false" ht="25.5" hidden="false" customHeight="false" outlineLevel="0" collapsed="false">
      <c r="A786" s="50" t="s">
        <v>2907</v>
      </c>
      <c r="B786" s="50" t="s">
        <v>2908</v>
      </c>
      <c r="C786" s="50" t="s">
        <v>95</v>
      </c>
      <c r="D786" s="50" t="n">
        <v>2</v>
      </c>
      <c r="E786" s="50" t="s">
        <v>96</v>
      </c>
      <c r="F786" s="50" t="s">
        <v>2909</v>
      </c>
      <c r="G786" s="52" t="s">
        <v>2910</v>
      </c>
      <c r="H786" s="50" t="n">
        <v>0</v>
      </c>
      <c r="I786" s="50"/>
      <c r="K786" s="50"/>
    </row>
    <row r="787" customFormat="false" ht="15" hidden="false" customHeight="false" outlineLevel="0" collapsed="false">
      <c r="A787" s="50" t="s">
        <v>2911</v>
      </c>
      <c r="B787" s="50" t="s">
        <v>2912</v>
      </c>
      <c r="C787" s="50" t="s">
        <v>95</v>
      </c>
      <c r="D787" s="50" t="n">
        <v>2</v>
      </c>
      <c r="E787" s="50" t="s">
        <v>96</v>
      </c>
      <c r="F787" s="50" t="s">
        <v>2913</v>
      </c>
      <c r="G787" s="52" t="s">
        <v>1563</v>
      </c>
      <c r="H787" s="50" t="n">
        <v>0</v>
      </c>
      <c r="I787" s="50"/>
      <c r="K787" s="50"/>
    </row>
    <row r="788" customFormat="false" ht="15" hidden="false" customHeight="false" outlineLevel="0" collapsed="false">
      <c r="A788" s="50" t="s">
        <v>2914</v>
      </c>
      <c r="B788" s="50" t="s">
        <v>2915</v>
      </c>
      <c r="C788" s="50" t="s">
        <v>95</v>
      </c>
      <c r="D788" s="50" t="n">
        <v>2</v>
      </c>
      <c r="E788" s="50" t="s">
        <v>96</v>
      </c>
      <c r="F788" s="50" t="s">
        <v>2916</v>
      </c>
      <c r="G788" s="52" t="s">
        <v>2917</v>
      </c>
      <c r="H788" s="50" t="n">
        <v>0</v>
      </c>
      <c r="I788" s="50"/>
      <c r="K788" s="50"/>
    </row>
    <row r="789" customFormat="false" ht="15" hidden="false" customHeight="false" outlineLevel="0" collapsed="false">
      <c r="A789" s="50" t="s">
        <v>2918</v>
      </c>
      <c r="B789" s="50" t="s">
        <v>2919</v>
      </c>
      <c r="C789" s="50" t="s">
        <v>95</v>
      </c>
      <c r="D789" s="50" t="n">
        <v>2</v>
      </c>
      <c r="E789" s="50" t="s">
        <v>96</v>
      </c>
      <c r="F789" s="50" t="s">
        <v>2920</v>
      </c>
      <c r="G789" s="52" t="s">
        <v>1173</v>
      </c>
      <c r="H789" s="50" t="n">
        <v>0</v>
      </c>
      <c r="I789" s="50"/>
      <c r="K789" s="50"/>
    </row>
    <row r="790" customFormat="false" ht="25.5" hidden="false" customHeight="false" outlineLevel="0" collapsed="false">
      <c r="A790" s="50" t="s">
        <v>2921</v>
      </c>
      <c r="B790" s="50" t="s">
        <v>2922</v>
      </c>
      <c r="C790" s="50" t="s">
        <v>95</v>
      </c>
      <c r="D790" s="50" t="n">
        <v>2</v>
      </c>
      <c r="E790" s="50" t="s">
        <v>96</v>
      </c>
      <c r="F790" s="50" t="s">
        <v>2923</v>
      </c>
      <c r="G790" s="52" t="s">
        <v>2924</v>
      </c>
      <c r="H790" s="50" t="n">
        <v>0</v>
      </c>
      <c r="I790" s="50"/>
      <c r="K790" s="50"/>
    </row>
    <row r="791" customFormat="false" ht="25.5" hidden="false" customHeight="false" outlineLevel="0" collapsed="false">
      <c r="A791" s="50" t="s">
        <v>2925</v>
      </c>
      <c r="B791" s="50" t="s">
        <v>2926</v>
      </c>
      <c r="C791" s="50" t="s">
        <v>95</v>
      </c>
      <c r="D791" s="50" t="n">
        <v>2</v>
      </c>
      <c r="E791" s="50" t="s">
        <v>96</v>
      </c>
      <c r="F791" s="50" t="s">
        <v>2927</v>
      </c>
      <c r="G791" s="52" t="s">
        <v>2928</v>
      </c>
      <c r="H791" s="50" t="n">
        <v>0</v>
      </c>
      <c r="I791" s="50"/>
      <c r="K791" s="50"/>
    </row>
    <row r="792" customFormat="false" ht="25.5" hidden="false" customHeight="false" outlineLevel="0" collapsed="false">
      <c r="A792" s="50" t="s">
        <v>2929</v>
      </c>
      <c r="B792" s="50" t="s">
        <v>2930</v>
      </c>
      <c r="C792" s="50" t="s">
        <v>95</v>
      </c>
      <c r="D792" s="50" t="n">
        <v>2</v>
      </c>
      <c r="E792" s="50" t="s">
        <v>96</v>
      </c>
      <c r="F792" s="50" t="s">
        <v>2931</v>
      </c>
      <c r="G792" s="52" t="s">
        <v>2932</v>
      </c>
      <c r="H792" s="50" t="n">
        <v>0</v>
      </c>
      <c r="I792" s="50"/>
      <c r="K792" s="50"/>
    </row>
    <row r="793" customFormat="false" ht="15" hidden="false" customHeight="false" outlineLevel="0" collapsed="false">
      <c r="A793" s="50" t="s">
        <v>2933</v>
      </c>
      <c r="B793" s="50" t="s">
        <v>2934</v>
      </c>
      <c r="C793" s="50" t="s">
        <v>95</v>
      </c>
      <c r="D793" s="50" t="n">
        <v>20</v>
      </c>
      <c r="E793" s="50" t="s">
        <v>113</v>
      </c>
      <c r="F793" s="50" t="s">
        <v>2935</v>
      </c>
      <c r="G793" s="52" t="s">
        <v>1563</v>
      </c>
      <c r="H793" s="50" t="n">
        <v>0</v>
      </c>
      <c r="I793" s="50"/>
      <c r="K793" s="50"/>
    </row>
    <row r="794" customFormat="false" ht="25.5" hidden="false" customHeight="false" outlineLevel="0" collapsed="false">
      <c r="A794" s="50" t="s">
        <v>2936</v>
      </c>
      <c r="B794" s="50" t="s">
        <v>2937</v>
      </c>
      <c r="C794" s="50" t="s">
        <v>95</v>
      </c>
      <c r="D794" s="50" t="n">
        <v>2</v>
      </c>
      <c r="E794" s="50" t="s">
        <v>96</v>
      </c>
      <c r="F794" s="50" t="s">
        <v>2938</v>
      </c>
      <c r="G794" s="52" t="s">
        <v>2939</v>
      </c>
      <c r="H794" s="50" t="n">
        <v>0</v>
      </c>
      <c r="I794" s="50"/>
      <c r="K794" s="50"/>
    </row>
    <row r="795" customFormat="false" ht="15" hidden="false" customHeight="false" outlineLevel="0" collapsed="false">
      <c r="A795" s="50" t="s">
        <v>58</v>
      </c>
      <c r="B795" s="50" t="s">
        <v>2940</v>
      </c>
      <c r="C795" s="50" t="s">
        <v>95</v>
      </c>
      <c r="D795" s="50" t="n">
        <v>2</v>
      </c>
      <c r="E795" s="50" t="s">
        <v>96</v>
      </c>
      <c r="F795" s="50" t="s">
        <v>2941</v>
      </c>
      <c r="G795" s="52" t="s">
        <v>2942</v>
      </c>
      <c r="H795" s="50" t="n">
        <v>0</v>
      </c>
      <c r="I795" s="50"/>
      <c r="K795" s="50"/>
    </row>
    <row r="796" customFormat="false" ht="15" hidden="false" customHeight="false" outlineLevel="0" collapsed="false">
      <c r="A796" s="50" t="s">
        <v>2943</v>
      </c>
      <c r="B796" s="50" t="s">
        <v>2944</v>
      </c>
      <c r="C796" s="50" t="s">
        <v>95</v>
      </c>
      <c r="D796" s="50" t="n">
        <v>2</v>
      </c>
      <c r="E796" s="50" t="s">
        <v>96</v>
      </c>
      <c r="F796" s="50" t="s">
        <v>2945</v>
      </c>
      <c r="G796" s="52" t="s">
        <v>2946</v>
      </c>
      <c r="H796" s="50" t="n">
        <v>0</v>
      </c>
      <c r="I796" s="50"/>
      <c r="K796" s="50"/>
    </row>
    <row r="797" customFormat="false" ht="25.5" hidden="false" customHeight="false" outlineLevel="0" collapsed="false">
      <c r="A797" s="50" t="s">
        <v>2947</v>
      </c>
      <c r="B797" s="50" t="s">
        <v>2948</v>
      </c>
      <c r="C797" s="50" t="s">
        <v>95</v>
      </c>
      <c r="D797" s="50" t="n">
        <v>2</v>
      </c>
      <c r="E797" s="50" t="s">
        <v>96</v>
      </c>
      <c r="F797" s="50" t="s">
        <v>2949</v>
      </c>
      <c r="G797" s="52" t="s">
        <v>2950</v>
      </c>
      <c r="H797" s="50" t="n">
        <v>0</v>
      </c>
      <c r="I797" s="50"/>
      <c r="K797" s="50"/>
    </row>
    <row r="798" customFormat="false" ht="25.5" hidden="false" customHeight="false" outlineLevel="0" collapsed="false">
      <c r="A798" s="50" t="s">
        <v>2951</v>
      </c>
      <c r="B798" s="50" t="s">
        <v>2952</v>
      </c>
      <c r="C798" s="50" t="s">
        <v>95</v>
      </c>
      <c r="D798" s="50" t="n">
        <v>2</v>
      </c>
      <c r="E798" s="50" t="s">
        <v>96</v>
      </c>
      <c r="F798" s="50" t="s">
        <v>2953</v>
      </c>
      <c r="G798" s="52" t="s">
        <v>2954</v>
      </c>
      <c r="H798" s="50" t="n">
        <v>0</v>
      </c>
      <c r="I798" s="50"/>
      <c r="K798" s="50"/>
    </row>
    <row r="799" customFormat="false" ht="25.5" hidden="false" customHeight="false" outlineLevel="0" collapsed="false">
      <c r="A799" s="50" t="s">
        <v>2955</v>
      </c>
      <c r="B799" s="50" t="s">
        <v>2956</v>
      </c>
      <c r="C799" s="50" t="s">
        <v>95</v>
      </c>
      <c r="D799" s="50" t="n">
        <v>2</v>
      </c>
      <c r="E799" s="50" t="s">
        <v>96</v>
      </c>
      <c r="F799" s="50" t="s">
        <v>2957</v>
      </c>
      <c r="G799" s="52" t="s">
        <v>2958</v>
      </c>
      <c r="H799" s="50" t="n">
        <v>0</v>
      </c>
      <c r="I799" s="50"/>
      <c r="K799" s="50"/>
    </row>
    <row r="800" customFormat="false" ht="25.5" hidden="false" customHeight="false" outlineLevel="0" collapsed="false">
      <c r="A800" s="50" t="s">
        <v>2959</v>
      </c>
      <c r="B800" s="50" t="s">
        <v>2960</v>
      </c>
      <c r="C800" s="50" t="s">
        <v>95</v>
      </c>
      <c r="D800" s="50" t="n">
        <v>2</v>
      </c>
      <c r="E800" s="50" t="s">
        <v>96</v>
      </c>
      <c r="F800" s="50" t="s">
        <v>2961</v>
      </c>
      <c r="G800" s="52" t="s">
        <v>2962</v>
      </c>
      <c r="H800" s="50" t="n">
        <v>0</v>
      </c>
      <c r="I800" s="50"/>
      <c r="K800" s="50"/>
    </row>
    <row r="801" customFormat="false" ht="25.5" hidden="false" customHeight="false" outlineLevel="0" collapsed="false">
      <c r="A801" s="50" t="s">
        <v>2963</v>
      </c>
      <c r="B801" s="50" t="s">
        <v>2964</v>
      </c>
      <c r="C801" s="50" t="s">
        <v>95</v>
      </c>
      <c r="D801" s="50" t="n">
        <v>2</v>
      </c>
      <c r="E801" s="50" t="s">
        <v>96</v>
      </c>
      <c r="F801" s="50" t="s">
        <v>2965</v>
      </c>
      <c r="G801" s="52" t="s">
        <v>2966</v>
      </c>
      <c r="H801" s="50" t="n">
        <v>0</v>
      </c>
      <c r="I801" s="50"/>
      <c r="K801" s="50"/>
    </row>
    <row r="802" customFormat="false" ht="15" hidden="false" customHeight="false" outlineLevel="0" collapsed="false">
      <c r="A802" s="50" t="s">
        <v>2967</v>
      </c>
      <c r="B802" s="50" t="s">
        <v>2968</v>
      </c>
      <c r="C802" s="50" t="s">
        <v>95</v>
      </c>
      <c r="D802" s="50" t="n">
        <v>2</v>
      </c>
      <c r="E802" s="50" t="s">
        <v>96</v>
      </c>
      <c r="F802" s="50" t="s">
        <v>2969</v>
      </c>
      <c r="G802" s="52" t="s">
        <v>2540</v>
      </c>
      <c r="H802" s="50" t="n">
        <v>0</v>
      </c>
      <c r="I802" s="50"/>
      <c r="K802" s="50"/>
    </row>
    <row r="803" customFormat="false" ht="15" hidden="false" customHeight="false" outlineLevel="0" collapsed="false">
      <c r="A803" s="50" t="s">
        <v>2970</v>
      </c>
      <c r="B803" s="50" t="s">
        <v>2971</v>
      </c>
      <c r="C803" s="50" t="s">
        <v>95</v>
      </c>
      <c r="D803" s="50" t="n">
        <v>2</v>
      </c>
      <c r="E803" s="50" t="s">
        <v>96</v>
      </c>
      <c r="F803" s="50" t="s">
        <v>2972</v>
      </c>
      <c r="G803" s="52" t="s">
        <v>2973</v>
      </c>
      <c r="H803" s="50" t="n">
        <v>0</v>
      </c>
      <c r="I803" s="50"/>
      <c r="K803" s="50"/>
    </row>
    <row r="804" customFormat="false" ht="15" hidden="false" customHeight="false" outlineLevel="0" collapsed="false">
      <c r="A804" s="50" t="s">
        <v>2974</v>
      </c>
      <c r="B804" s="50" t="s">
        <v>2975</v>
      </c>
      <c r="C804" s="50" t="s">
        <v>95</v>
      </c>
      <c r="D804" s="50" t="n">
        <v>2</v>
      </c>
      <c r="E804" s="50" t="s">
        <v>96</v>
      </c>
      <c r="F804" s="50" t="s">
        <v>2976</v>
      </c>
      <c r="G804" s="52" t="s">
        <v>2977</v>
      </c>
      <c r="H804" s="50" t="n">
        <v>0</v>
      </c>
      <c r="I804" s="50"/>
      <c r="K804" s="50"/>
    </row>
    <row r="805" customFormat="false" ht="15" hidden="false" customHeight="false" outlineLevel="0" collapsed="false">
      <c r="A805" s="50" t="s">
        <v>2978</v>
      </c>
      <c r="B805" s="50" t="s">
        <v>2979</v>
      </c>
      <c r="C805" s="50" t="s">
        <v>95</v>
      </c>
      <c r="D805" s="50" t="n">
        <v>2</v>
      </c>
      <c r="E805" s="50" t="s">
        <v>96</v>
      </c>
      <c r="F805" s="50" t="s">
        <v>2980</v>
      </c>
      <c r="G805" s="52" t="s">
        <v>2981</v>
      </c>
      <c r="H805" s="50" t="n">
        <v>0</v>
      </c>
      <c r="I805" s="50"/>
      <c r="K805" s="50"/>
    </row>
    <row r="806" customFormat="false" ht="25.5" hidden="false" customHeight="false" outlineLevel="0" collapsed="false">
      <c r="A806" s="50" t="s">
        <v>2982</v>
      </c>
      <c r="B806" s="50" t="s">
        <v>2983</v>
      </c>
      <c r="C806" s="50" t="s">
        <v>95</v>
      </c>
      <c r="D806" s="50" t="n">
        <v>2</v>
      </c>
      <c r="E806" s="50" t="s">
        <v>96</v>
      </c>
      <c r="F806" s="50" t="s">
        <v>2984</v>
      </c>
      <c r="G806" s="52" t="s">
        <v>2985</v>
      </c>
      <c r="H806" s="50" t="n">
        <v>0</v>
      </c>
      <c r="I806" s="50"/>
      <c r="K806" s="50"/>
    </row>
    <row r="807" customFormat="false" ht="15" hidden="false" customHeight="false" outlineLevel="0" collapsed="false">
      <c r="A807" s="50" t="s">
        <v>2986</v>
      </c>
      <c r="B807" s="50" t="s">
        <v>2987</v>
      </c>
      <c r="C807" s="50" t="s">
        <v>95</v>
      </c>
      <c r="D807" s="50" t="n">
        <v>2</v>
      </c>
      <c r="E807" s="50" t="s">
        <v>96</v>
      </c>
      <c r="F807" s="50" t="s">
        <v>2988</v>
      </c>
      <c r="G807" s="52" t="s">
        <v>2989</v>
      </c>
      <c r="H807" s="50" t="n">
        <v>0</v>
      </c>
      <c r="I807" s="50"/>
      <c r="K807" s="50"/>
    </row>
    <row r="808" customFormat="false" ht="25.5" hidden="false" customHeight="false" outlineLevel="0" collapsed="false">
      <c r="A808" s="50" t="s">
        <v>2990</v>
      </c>
      <c r="B808" s="50" t="s">
        <v>2991</v>
      </c>
      <c r="C808" s="50" t="s">
        <v>95</v>
      </c>
      <c r="D808" s="50" t="n">
        <v>2</v>
      </c>
      <c r="E808" s="50" t="s">
        <v>96</v>
      </c>
      <c r="F808" s="50" t="s">
        <v>2992</v>
      </c>
      <c r="G808" s="52" t="s">
        <v>2768</v>
      </c>
      <c r="H808" s="50" t="n">
        <v>72</v>
      </c>
      <c r="I808" s="50"/>
      <c r="K808" s="50"/>
    </row>
    <row r="809" customFormat="false" ht="15" hidden="false" customHeight="false" outlineLevel="0" collapsed="false">
      <c r="A809" s="50" t="s">
        <v>2993</v>
      </c>
      <c r="B809" s="50" t="s">
        <v>2994</v>
      </c>
      <c r="C809" s="50" t="s">
        <v>95</v>
      </c>
      <c r="D809" s="50" t="n">
        <v>2</v>
      </c>
      <c r="E809" s="50" t="s">
        <v>96</v>
      </c>
      <c r="F809" s="50" t="s">
        <v>2995</v>
      </c>
      <c r="G809" s="52" t="s">
        <v>2256</v>
      </c>
      <c r="H809" s="50" t="n">
        <v>200</v>
      </c>
      <c r="I809" s="50"/>
      <c r="K809" s="50"/>
    </row>
    <row r="810" customFormat="false" ht="15" hidden="false" customHeight="false" outlineLevel="0" collapsed="false">
      <c r="A810" s="50" t="s">
        <v>2996</v>
      </c>
      <c r="B810" s="50" t="s">
        <v>2997</v>
      </c>
      <c r="C810" s="50" t="s">
        <v>95</v>
      </c>
      <c r="D810" s="50" t="n">
        <v>2</v>
      </c>
      <c r="E810" s="50" t="s">
        <v>96</v>
      </c>
      <c r="F810" s="50" t="s">
        <v>2998</v>
      </c>
      <c r="G810" s="52" t="s">
        <v>2999</v>
      </c>
      <c r="H810" s="50" t="n">
        <v>0</v>
      </c>
      <c r="I810" s="50"/>
      <c r="K810" s="50"/>
    </row>
    <row r="811" customFormat="false" ht="15" hidden="false" customHeight="false" outlineLevel="0" collapsed="false">
      <c r="A811" s="50" t="s">
        <v>3000</v>
      </c>
      <c r="B811" s="50" t="s">
        <v>3001</v>
      </c>
      <c r="C811" s="50" t="s">
        <v>95</v>
      </c>
      <c r="D811" s="50" t="n">
        <v>10</v>
      </c>
      <c r="E811" s="50" t="s">
        <v>113</v>
      </c>
      <c r="F811" s="50" t="s">
        <v>3002</v>
      </c>
      <c r="G811" s="52" t="s">
        <v>106</v>
      </c>
      <c r="H811" s="50" t="n">
        <v>10</v>
      </c>
      <c r="I811" s="50"/>
      <c r="K811" s="50"/>
    </row>
    <row r="812" customFormat="false" ht="15" hidden="false" customHeight="false" outlineLevel="0" collapsed="false">
      <c r="A812" s="50" t="s">
        <v>3003</v>
      </c>
      <c r="B812" s="50" t="s">
        <v>3004</v>
      </c>
      <c r="C812" s="50" t="s">
        <v>95</v>
      </c>
      <c r="D812" s="50" t="n">
        <v>20</v>
      </c>
      <c r="E812" s="50" t="s">
        <v>113</v>
      </c>
      <c r="F812" s="50" t="s">
        <v>3005</v>
      </c>
      <c r="G812" s="52" t="s">
        <v>3006</v>
      </c>
      <c r="H812" s="50" t="n">
        <v>0</v>
      </c>
      <c r="I812" s="50"/>
      <c r="K812" s="50"/>
    </row>
    <row r="813" customFormat="false" ht="15" hidden="false" customHeight="false" outlineLevel="0" collapsed="false">
      <c r="A813" s="50" t="s">
        <v>3007</v>
      </c>
      <c r="B813" s="50" t="s">
        <v>3008</v>
      </c>
      <c r="C813" s="50" t="s">
        <v>95</v>
      </c>
      <c r="D813" s="50" t="n">
        <v>2</v>
      </c>
      <c r="E813" s="50" t="s">
        <v>96</v>
      </c>
      <c r="F813" s="50" t="s">
        <v>3009</v>
      </c>
      <c r="G813" s="52" t="s">
        <v>2256</v>
      </c>
      <c r="H813" s="50" t="n">
        <v>1</v>
      </c>
      <c r="I813" s="50"/>
      <c r="K813" s="50"/>
    </row>
    <row r="814" customFormat="false" ht="15" hidden="false" customHeight="false" outlineLevel="0" collapsed="false">
      <c r="A814" s="50" t="s">
        <v>3010</v>
      </c>
      <c r="B814" s="50" t="s">
        <v>3011</v>
      </c>
      <c r="C814" s="50" t="s">
        <v>95</v>
      </c>
      <c r="D814" s="50" t="n">
        <v>10</v>
      </c>
      <c r="E814" s="50" t="s">
        <v>113</v>
      </c>
      <c r="F814" s="50" t="s">
        <v>3012</v>
      </c>
      <c r="G814" s="52" t="s">
        <v>102</v>
      </c>
      <c r="H814" s="50" t="n">
        <v>0</v>
      </c>
      <c r="I814" s="50"/>
      <c r="K814" s="50"/>
    </row>
    <row r="815" customFormat="false" ht="15" hidden="false" customHeight="false" outlineLevel="0" collapsed="false">
      <c r="A815" s="50" t="s">
        <v>3013</v>
      </c>
      <c r="B815" s="50" t="s">
        <v>3014</v>
      </c>
      <c r="C815" s="50" t="s">
        <v>95</v>
      </c>
      <c r="D815" s="50" t="n">
        <v>2</v>
      </c>
      <c r="E815" s="50" t="s">
        <v>96</v>
      </c>
      <c r="F815" s="50" t="s">
        <v>3015</v>
      </c>
      <c r="G815" s="52" t="s">
        <v>1462</v>
      </c>
      <c r="H815" s="50" t="n">
        <v>12</v>
      </c>
      <c r="I815" s="50"/>
      <c r="K815" s="50"/>
    </row>
    <row r="816" customFormat="false" ht="15" hidden="false" customHeight="false" outlineLevel="0" collapsed="false">
      <c r="A816" s="50" t="s">
        <v>3016</v>
      </c>
      <c r="B816" s="50" t="s">
        <v>3017</v>
      </c>
      <c r="C816" s="50" t="s">
        <v>95</v>
      </c>
      <c r="D816" s="50" t="n">
        <v>2</v>
      </c>
      <c r="E816" s="50" t="s">
        <v>96</v>
      </c>
      <c r="F816" s="50" t="s">
        <v>3018</v>
      </c>
      <c r="G816" s="52" t="s">
        <v>334</v>
      </c>
      <c r="H816" s="50" t="n">
        <v>0</v>
      </c>
      <c r="I816" s="50"/>
      <c r="K816" s="50"/>
    </row>
    <row r="817" customFormat="false" ht="15" hidden="false" customHeight="false" outlineLevel="0" collapsed="false">
      <c r="A817" s="50" t="s">
        <v>3019</v>
      </c>
      <c r="B817" s="50" t="s">
        <v>3020</v>
      </c>
      <c r="C817" s="50" t="s">
        <v>95</v>
      </c>
      <c r="D817" s="50" t="n">
        <v>2</v>
      </c>
      <c r="E817" s="50" t="s">
        <v>96</v>
      </c>
      <c r="F817" s="50" t="s">
        <v>3021</v>
      </c>
      <c r="G817" s="52" t="s">
        <v>3022</v>
      </c>
      <c r="H817" s="50" t="n">
        <v>150</v>
      </c>
      <c r="I817" s="50"/>
      <c r="K817" s="50"/>
    </row>
    <row r="818" customFormat="false" ht="15" hidden="false" customHeight="false" outlineLevel="0" collapsed="false">
      <c r="A818" s="50" t="s">
        <v>3023</v>
      </c>
      <c r="B818" s="50" t="s">
        <v>3024</v>
      </c>
      <c r="C818" s="50" t="s">
        <v>95</v>
      </c>
      <c r="D818" s="50" t="n">
        <v>2</v>
      </c>
      <c r="E818" s="50" t="s">
        <v>96</v>
      </c>
      <c r="F818" s="50" t="s">
        <v>3025</v>
      </c>
      <c r="G818" s="52" t="s">
        <v>3026</v>
      </c>
      <c r="H818" s="50" t="n">
        <v>1</v>
      </c>
      <c r="I818" s="50"/>
      <c r="K818" s="50"/>
    </row>
    <row r="819" customFormat="false" ht="15" hidden="false" customHeight="false" outlineLevel="0" collapsed="false">
      <c r="A819" s="50" t="s">
        <v>3027</v>
      </c>
      <c r="B819" s="50" t="s">
        <v>3028</v>
      </c>
      <c r="C819" s="50" t="s">
        <v>95</v>
      </c>
      <c r="D819" s="50" t="n">
        <v>2</v>
      </c>
      <c r="E819" s="50" t="s">
        <v>96</v>
      </c>
      <c r="F819" s="50" t="s">
        <v>3029</v>
      </c>
      <c r="G819" s="52" t="s">
        <v>3030</v>
      </c>
      <c r="H819" s="50" t="n">
        <v>1</v>
      </c>
      <c r="I819" s="50"/>
      <c r="K819" s="50"/>
    </row>
    <row r="820" customFormat="false" ht="15" hidden="false" customHeight="false" outlineLevel="0" collapsed="false">
      <c r="A820" s="50" t="s">
        <v>3031</v>
      </c>
      <c r="B820" s="50" t="s">
        <v>3032</v>
      </c>
      <c r="C820" s="50" t="s">
        <v>95</v>
      </c>
      <c r="D820" s="50" t="n">
        <v>2</v>
      </c>
      <c r="E820" s="50" t="s">
        <v>96</v>
      </c>
      <c r="F820" s="50" t="s">
        <v>3033</v>
      </c>
      <c r="G820" s="52" t="s">
        <v>3034</v>
      </c>
      <c r="H820" s="50" t="n">
        <v>1</v>
      </c>
      <c r="I820" s="50"/>
      <c r="K820" s="50"/>
    </row>
    <row r="821" customFormat="false" ht="15" hidden="false" customHeight="false" outlineLevel="0" collapsed="false">
      <c r="A821" s="50" t="s">
        <v>3035</v>
      </c>
      <c r="B821" s="50" t="s">
        <v>3036</v>
      </c>
      <c r="C821" s="50" t="s">
        <v>95</v>
      </c>
      <c r="D821" s="50" t="n">
        <v>20</v>
      </c>
      <c r="E821" s="50" t="s">
        <v>113</v>
      </c>
      <c r="F821" s="50" t="s">
        <v>3037</v>
      </c>
      <c r="G821" s="52" t="s">
        <v>3038</v>
      </c>
      <c r="H821" s="50" t="n">
        <v>1</v>
      </c>
      <c r="I821" s="50"/>
      <c r="K821" s="50"/>
    </row>
    <row r="822" customFormat="false" ht="15" hidden="false" customHeight="false" outlineLevel="0" collapsed="false">
      <c r="A822" s="50" t="s">
        <v>3039</v>
      </c>
      <c r="B822" s="50" t="s">
        <v>3040</v>
      </c>
      <c r="C822" s="50" t="s">
        <v>95</v>
      </c>
      <c r="D822" s="50" t="n">
        <v>20</v>
      </c>
      <c r="E822" s="50" t="s">
        <v>113</v>
      </c>
      <c r="F822" s="50" t="s">
        <v>3041</v>
      </c>
      <c r="G822" s="52" t="s">
        <v>3042</v>
      </c>
      <c r="H822" s="50" t="n">
        <v>1</v>
      </c>
      <c r="I822" s="50"/>
      <c r="K822" s="50"/>
    </row>
    <row r="823" customFormat="false" ht="15" hidden="false" customHeight="false" outlineLevel="0" collapsed="false">
      <c r="A823" s="50" t="s">
        <v>3043</v>
      </c>
      <c r="B823" s="50" t="s">
        <v>3044</v>
      </c>
      <c r="C823" s="50" t="s">
        <v>95</v>
      </c>
      <c r="D823" s="50" t="n">
        <v>20</v>
      </c>
      <c r="E823" s="50" t="s">
        <v>113</v>
      </c>
      <c r="F823" s="50" t="s">
        <v>3045</v>
      </c>
      <c r="G823" s="52" t="s">
        <v>3046</v>
      </c>
      <c r="H823" s="50" t="n">
        <v>1</v>
      </c>
      <c r="I823" s="50"/>
      <c r="K823" s="50"/>
    </row>
    <row r="824" customFormat="false" ht="15" hidden="false" customHeight="false" outlineLevel="0" collapsed="false">
      <c r="A824" s="50" t="s">
        <v>3047</v>
      </c>
      <c r="B824" s="50" t="s">
        <v>3048</v>
      </c>
      <c r="C824" s="50" t="s">
        <v>95</v>
      </c>
      <c r="D824" s="50" t="n">
        <v>20</v>
      </c>
      <c r="E824" s="50" t="s">
        <v>113</v>
      </c>
      <c r="F824" s="50" t="s">
        <v>3049</v>
      </c>
      <c r="G824" s="52" t="s">
        <v>2631</v>
      </c>
      <c r="H824" s="50" t="n">
        <v>1</v>
      </c>
      <c r="I824" s="50"/>
      <c r="K824" s="50"/>
    </row>
    <row r="825" customFormat="false" ht="15" hidden="false" customHeight="false" outlineLevel="0" collapsed="false">
      <c r="A825" s="50" t="s">
        <v>3050</v>
      </c>
      <c r="B825" s="50" t="s">
        <v>3051</v>
      </c>
      <c r="C825" s="50" t="s">
        <v>95</v>
      </c>
      <c r="D825" s="50" t="n">
        <v>2</v>
      </c>
      <c r="E825" s="50" t="s">
        <v>96</v>
      </c>
      <c r="F825" s="50" t="s">
        <v>3052</v>
      </c>
      <c r="G825" s="52" t="s">
        <v>3053</v>
      </c>
      <c r="H825" s="50" t="n">
        <v>1</v>
      </c>
      <c r="I825" s="50"/>
      <c r="K825" s="50"/>
    </row>
    <row r="826" customFormat="false" ht="15" hidden="false" customHeight="false" outlineLevel="0" collapsed="false">
      <c r="A826" s="50" t="s">
        <v>3054</v>
      </c>
      <c r="B826" s="50" t="s">
        <v>3055</v>
      </c>
      <c r="C826" s="50" t="s">
        <v>95</v>
      </c>
      <c r="D826" s="50" t="n">
        <v>2</v>
      </c>
      <c r="E826" s="50" t="s">
        <v>96</v>
      </c>
      <c r="F826" s="50" t="s">
        <v>3056</v>
      </c>
      <c r="G826" s="52" t="s">
        <v>3053</v>
      </c>
      <c r="H826" s="50" t="n">
        <v>1</v>
      </c>
      <c r="I826" s="50"/>
      <c r="K826" s="50"/>
    </row>
    <row r="827" customFormat="false" ht="15" hidden="false" customHeight="false" outlineLevel="0" collapsed="false">
      <c r="A827" s="50" t="s">
        <v>3057</v>
      </c>
      <c r="B827" s="50" t="s">
        <v>3058</v>
      </c>
      <c r="C827" s="50" t="s">
        <v>95</v>
      </c>
      <c r="D827" s="50" t="n">
        <v>20</v>
      </c>
      <c r="E827" s="50" t="s">
        <v>113</v>
      </c>
      <c r="F827" s="50" t="s">
        <v>3059</v>
      </c>
      <c r="G827" s="52" t="s">
        <v>2631</v>
      </c>
      <c r="H827" s="50" t="n">
        <v>1</v>
      </c>
      <c r="I827" s="50"/>
      <c r="K827" s="50"/>
    </row>
    <row r="828" customFormat="false" ht="15" hidden="false" customHeight="false" outlineLevel="0" collapsed="false">
      <c r="A828" s="50" t="s">
        <v>3060</v>
      </c>
      <c r="B828" s="50" t="s">
        <v>3061</v>
      </c>
      <c r="C828" s="50" t="s">
        <v>95</v>
      </c>
      <c r="D828" s="50" t="n">
        <v>20</v>
      </c>
      <c r="E828" s="50" t="s">
        <v>113</v>
      </c>
      <c r="F828" s="50" t="s">
        <v>3062</v>
      </c>
      <c r="G828" s="52" t="s">
        <v>3053</v>
      </c>
      <c r="H828" s="50" t="n">
        <v>1</v>
      </c>
      <c r="I828" s="50"/>
      <c r="K828" s="50"/>
    </row>
    <row r="829" customFormat="false" ht="15" hidden="false" customHeight="false" outlineLevel="0" collapsed="false">
      <c r="A829" s="50" t="s">
        <v>3063</v>
      </c>
      <c r="B829" s="50" t="s">
        <v>3064</v>
      </c>
      <c r="C829" s="50" t="s">
        <v>95</v>
      </c>
      <c r="D829" s="50" t="n">
        <v>2</v>
      </c>
      <c r="E829" s="50" t="s">
        <v>96</v>
      </c>
      <c r="F829" s="50" t="s">
        <v>3065</v>
      </c>
      <c r="G829" s="52" t="s">
        <v>2631</v>
      </c>
      <c r="H829" s="50" t="n">
        <v>1</v>
      </c>
      <c r="I829" s="50"/>
      <c r="K829" s="50"/>
    </row>
    <row r="830" customFormat="false" ht="15" hidden="false" customHeight="false" outlineLevel="0" collapsed="false">
      <c r="A830" s="50" t="s">
        <v>3066</v>
      </c>
      <c r="B830" s="50" t="s">
        <v>3067</v>
      </c>
      <c r="C830" s="50" t="s">
        <v>95</v>
      </c>
      <c r="D830" s="50" t="n">
        <v>2</v>
      </c>
      <c r="E830" s="50" t="s">
        <v>96</v>
      </c>
      <c r="F830" s="50" t="s">
        <v>3068</v>
      </c>
      <c r="G830" s="52" t="s">
        <v>3053</v>
      </c>
      <c r="H830" s="50" t="n">
        <v>1</v>
      </c>
      <c r="I830" s="50"/>
      <c r="K830" s="50"/>
    </row>
    <row r="831" customFormat="false" ht="15" hidden="false" customHeight="false" outlineLevel="0" collapsed="false">
      <c r="A831" s="50" t="s">
        <v>3069</v>
      </c>
      <c r="B831" s="50" t="s">
        <v>3070</v>
      </c>
      <c r="C831" s="50" t="s">
        <v>95</v>
      </c>
      <c r="D831" s="50" t="n">
        <v>2</v>
      </c>
      <c r="E831" s="50" t="s">
        <v>96</v>
      </c>
      <c r="F831" s="50" t="s">
        <v>3071</v>
      </c>
      <c r="G831" s="52" t="s">
        <v>3053</v>
      </c>
      <c r="H831" s="50" t="n">
        <v>1</v>
      </c>
      <c r="I831" s="50"/>
      <c r="K831" s="50"/>
    </row>
    <row r="832" customFormat="false" ht="15" hidden="false" customHeight="false" outlineLevel="0" collapsed="false">
      <c r="A832" s="50" t="s">
        <v>3072</v>
      </c>
      <c r="B832" s="50" t="s">
        <v>3073</v>
      </c>
      <c r="C832" s="50" t="s">
        <v>95</v>
      </c>
      <c r="D832" s="50" t="n">
        <v>20</v>
      </c>
      <c r="E832" s="50" t="s">
        <v>113</v>
      </c>
      <c r="F832" s="50" t="s">
        <v>3074</v>
      </c>
      <c r="G832" s="52" t="s">
        <v>2631</v>
      </c>
      <c r="H832" s="50" t="n">
        <v>1</v>
      </c>
      <c r="I832" s="50"/>
      <c r="K832" s="50"/>
    </row>
    <row r="833" customFormat="false" ht="15" hidden="false" customHeight="false" outlineLevel="0" collapsed="false">
      <c r="A833" s="50" t="s">
        <v>3075</v>
      </c>
      <c r="B833" s="50" t="s">
        <v>3076</v>
      </c>
      <c r="C833" s="50" t="s">
        <v>95</v>
      </c>
      <c r="D833" s="50" t="n">
        <v>20</v>
      </c>
      <c r="E833" s="50" t="s">
        <v>113</v>
      </c>
      <c r="F833" s="50" t="s">
        <v>3077</v>
      </c>
      <c r="G833" s="52" t="s">
        <v>3053</v>
      </c>
      <c r="H833" s="50" t="n">
        <v>1</v>
      </c>
      <c r="I833" s="50"/>
      <c r="K833" s="50"/>
    </row>
    <row r="834" customFormat="false" ht="15" hidden="false" customHeight="false" outlineLevel="0" collapsed="false">
      <c r="A834" s="50" t="s">
        <v>3078</v>
      </c>
      <c r="B834" s="50" t="s">
        <v>3079</v>
      </c>
      <c r="C834" s="50" t="s">
        <v>95</v>
      </c>
      <c r="D834" s="50" t="n">
        <v>2</v>
      </c>
      <c r="E834" s="50" t="s">
        <v>96</v>
      </c>
      <c r="F834" s="50" t="s">
        <v>3080</v>
      </c>
      <c r="G834" s="52" t="s">
        <v>2631</v>
      </c>
      <c r="H834" s="50" t="n">
        <v>1</v>
      </c>
      <c r="I834" s="50"/>
      <c r="K834" s="50"/>
    </row>
    <row r="835" customFormat="false" ht="15" hidden="false" customHeight="false" outlineLevel="0" collapsed="false">
      <c r="A835" s="50" t="s">
        <v>3081</v>
      </c>
      <c r="B835" s="50" t="s">
        <v>3082</v>
      </c>
      <c r="C835" s="50" t="s">
        <v>95</v>
      </c>
      <c r="D835" s="50" t="n">
        <v>2</v>
      </c>
      <c r="E835" s="50" t="s">
        <v>96</v>
      </c>
      <c r="F835" s="50" t="s">
        <v>3083</v>
      </c>
      <c r="G835" s="52" t="s">
        <v>3053</v>
      </c>
      <c r="H835" s="50" t="n">
        <v>1</v>
      </c>
      <c r="I835" s="50"/>
      <c r="K835" s="50"/>
    </row>
    <row r="836" customFormat="false" ht="15" hidden="false" customHeight="false" outlineLevel="0" collapsed="false">
      <c r="A836" s="50" t="s">
        <v>3084</v>
      </c>
      <c r="B836" s="50" t="s">
        <v>3085</v>
      </c>
      <c r="C836" s="50" t="s">
        <v>95</v>
      </c>
      <c r="D836" s="50" t="n">
        <v>20</v>
      </c>
      <c r="E836" s="50" t="s">
        <v>113</v>
      </c>
      <c r="F836" s="50" t="s">
        <v>3086</v>
      </c>
      <c r="G836" s="52" t="s">
        <v>2631</v>
      </c>
      <c r="H836" s="50" t="n">
        <v>1</v>
      </c>
      <c r="I836" s="50"/>
      <c r="K836" s="50"/>
    </row>
    <row r="837" customFormat="false" ht="15" hidden="false" customHeight="false" outlineLevel="0" collapsed="false">
      <c r="A837" s="50" t="s">
        <v>3087</v>
      </c>
      <c r="B837" s="50" t="s">
        <v>3088</v>
      </c>
      <c r="C837" s="50" t="s">
        <v>95</v>
      </c>
      <c r="D837" s="50" t="n">
        <v>10</v>
      </c>
      <c r="E837" s="50" t="s">
        <v>113</v>
      </c>
      <c r="F837" s="50" t="s">
        <v>3089</v>
      </c>
      <c r="G837" s="52" t="s">
        <v>3090</v>
      </c>
      <c r="H837" s="50" t="n">
        <v>1</v>
      </c>
      <c r="I837" s="50"/>
      <c r="K837" s="50"/>
    </row>
    <row r="838" customFormat="false" ht="15" hidden="false" customHeight="false" outlineLevel="0" collapsed="false">
      <c r="A838" s="50" t="s">
        <v>3091</v>
      </c>
      <c r="B838" s="50" t="s">
        <v>3092</v>
      </c>
      <c r="C838" s="50" t="s">
        <v>95</v>
      </c>
      <c r="D838" s="50" t="n">
        <v>10</v>
      </c>
      <c r="E838" s="50" t="s">
        <v>113</v>
      </c>
      <c r="F838" s="50" t="s">
        <v>3093</v>
      </c>
      <c r="G838" s="52" t="s">
        <v>3090</v>
      </c>
      <c r="H838" s="50" t="n">
        <v>1</v>
      </c>
      <c r="I838" s="50"/>
      <c r="K838" s="50"/>
    </row>
    <row r="839" customFormat="false" ht="15" hidden="false" customHeight="false" outlineLevel="0" collapsed="false">
      <c r="A839" s="50" t="s">
        <v>3094</v>
      </c>
      <c r="B839" s="50" t="s">
        <v>3095</v>
      </c>
      <c r="C839" s="50" t="s">
        <v>95</v>
      </c>
      <c r="D839" s="50" t="n">
        <v>10</v>
      </c>
      <c r="E839" s="50" t="s">
        <v>113</v>
      </c>
      <c r="F839" s="50" t="s">
        <v>3096</v>
      </c>
      <c r="G839" s="52" t="s">
        <v>3097</v>
      </c>
      <c r="H839" s="50" t="n">
        <v>1</v>
      </c>
      <c r="I839" s="50"/>
      <c r="K839" s="50"/>
    </row>
    <row r="840" customFormat="false" ht="15" hidden="false" customHeight="false" outlineLevel="0" collapsed="false">
      <c r="A840" s="50" t="s">
        <v>3098</v>
      </c>
      <c r="B840" s="50" t="s">
        <v>3099</v>
      </c>
      <c r="C840" s="50" t="s">
        <v>95</v>
      </c>
      <c r="D840" s="50" t="n">
        <v>10</v>
      </c>
      <c r="E840" s="50" t="s">
        <v>113</v>
      </c>
      <c r="F840" s="50" t="s">
        <v>3100</v>
      </c>
      <c r="G840" s="52" t="s">
        <v>3090</v>
      </c>
      <c r="H840" s="50" t="n">
        <v>1</v>
      </c>
      <c r="I840" s="50"/>
      <c r="K840" s="50"/>
    </row>
    <row r="841" customFormat="false" ht="15" hidden="false" customHeight="false" outlineLevel="0" collapsed="false">
      <c r="A841" s="50" t="s">
        <v>3101</v>
      </c>
      <c r="B841" s="50" t="s">
        <v>3102</v>
      </c>
      <c r="C841" s="50" t="s">
        <v>95</v>
      </c>
      <c r="D841" s="50" t="n">
        <v>20</v>
      </c>
      <c r="E841" s="50" t="s">
        <v>113</v>
      </c>
      <c r="F841" s="50" t="s">
        <v>3103</v>
      </c>
      <c r="G841" s="52" t="s">
        <v>3104</v>
      </c>
      <c r="H841" s="50" t="n">
        <v>1</v>
      </c>
      <c r="I841" s="50"/>
      <c r="K841" s="50"/>
    </row>
    <row r="842" customFormat="false" ht="15" hidden="false" customHeight="false" outlineLevel="0" collapsed="false">
      <c r="A842" s="50" t="s">
        <v>3105</v>
      </c>
      <c r="B842" s="50" t="s">
        <v>3106</v>
      </c>
      <c r="C842" s="50" t="s">
        <v>95</v>
      </c>
      <c r="D842" s="50" t="n">
        <v>2</v>
      </c>
      <c r="E842" s="50" t="s">
        <v>96</v>
      </c>
      <c r="F842" s="50" t="s">
        <v>3107</v>
      </c>
      <c r="G842" s="52" t="s">
        <v>3104</v>
      </c>
      <c r="H842" s="50" t="n">
        <v>1</v>
      </c>
      <c r="I842" s="50"/>
      <c r="K842" s="50"/>
    </row>
    <row r="843" customFormat="false" ht="15" hidden="false" customHeight="false" outlineLevel="0" collapsed="false">
      <c r="A843" s="50" t="s">
        <v>3108</v>
      </c>
      <c r="B843" s="50" t="s">
        <v>3109</v>
      </c>
      <c r="C843" s="50" t="s">
        <v>95</v>
      </c>
      <c r="D843" s="50" t="n">
        <v>2</v>
      </c>
      <c r="E843" s="50" t="s">
        <v>96</v>
      </c>
      <c r="F843" s="50" t="s">
        <v>3110</v>
      </c>
      <c r="G843" s="52" t="s">
        <v>3111</v>
      </c>
      <c r="H843" s="50" t="n">
        <v>1</v>
      </c>
      <c r="I843" s="50"/>
      <c r="K843" s="50"/>
    </row>
    <row r="844" customFormat="false" ht="15" hidden="false" customHeight="false" outlineLevel="0" collapsed="false">
      <c r="A844" s="50" t="s">
        <v>3112</v>
      </c>
      <c r="B844" s="50" t="s">
        <v>3113</v>
      </c>
      <c r="C844" s="50" t="s">
        <v>95</v>
      </c>
      <c r="D844" s="50" t="n">
        <v>20</v>
      </c>
      <c r="E844" s="50" t="s">
        <v>113</v>
      </c>
      <c r="F844" s="50" t="s">
        <v>3114</v>
      </c>
      <c r="G844" s="52" t="s">
        <v>3104</v>
      </c>
      <c r="H844" s="50" t="n">
        <v>1</v>
      </c>
      <c r="I844" s="50"/>
      <c r="K844" s="50"/>
    </row>
    <row r="845" customFormat="false" ht="25.5" hidden="false" customHeight="false" outlineLevel="0" collapsed="false">
      <c r="A845" s="50" t="s">
        <v>3115</v>
      </c>
      <c r="B845" s="50" t="s">
        <v>3116</v>
      </c>
      <c r="C845" s="50" t="s">
        <v>95</v>
      </c>
      <c r="D845" s="50" t="n">
        <v>15</v>
      </c>
      <c r="E845" s="50" t="s">
        <v>113</v>
      </c>
      <c r="F845" s="50" t="s">
        <v>3117</v>
      </c>
      <c r="G845" s="52" t="s">
        <v>3118</v>
      </c>
      <c r="H845" s="50" t="n">
        <v>0</v>
      </c>
      <c r="I845" s="50"/>
      <c r="K845" s="50"/>
    </row>
    <row r="846" customFormat="false" ht="15" hidden="false" customHeight="false" outlineLevel="0" collapsed="false">
      <c r="A846" s="50" t="s">
        <v>3119</v>
      </c>
      <c r="B846" s="50" t="s">
        <v>3120</v>
      </c>
      <c r="C846" s="50" t="s">
        <v>95</v>
      </c>
      <c r="D846" s="50" t="n">
        <v>2</v>
      </c>
      <c r="E846" s="50" t="s">
        <v>96</v>
      </c>
      <c r="F846" s="50" t="s">
        <v>3121</v>
      </c>
      <c r="G846" s="52" t="s">
        <v>3122</v>
      </c>
      <c r="H846" s="50" t="n">
        <v>1</v>
      </c>
      <c r="I846" s="50"/>
      <c r="K846" s="50"/>
    </row>
    <row r="847" customFormat="false" ht="15" hidden="false" customHeight="false" outlineLevel="0" collapsed="false">
      <c r="A847" s="50" t="s">
        <v>3123</v>
      </c>
      <c r="B847" s="50" t="s">
        <v>3124</v>
      </c>
      <c r="C847" s="50" t="s">
        <v>95</v>
      </c>
      <c r="D847" s="50" t="n">
        <v>2</v>
      </c>
      <c r="E847" s="50" t="s">
        <v>96</v>
      </c>
      <c r="F847" s="50" t="s">
        <v>3125</v>
      </c>
      <c r="G847" s="52" t="s">
        <v>3126</v>
      </c>
      <c r="H847" s="50" t="n">
        <v>1</v>
      </c>
      <c r="I847" s="50"/>
      <c r="K847" s="50"/>
    </row>
    <row r="848" customFormat="false" ht="15" hidden="false" customHeight="false" outlineLevel="0" collapsed="false">
      <c r="A848" s="50" t="s">
        <v>3127</v>
      </c>
      <c r="B848" s="50" t="s">
        <v>3128</v>
      </c>
      <c r="C848" s="50" t="s">
        <v>95</v>
      </c>
      <c r="D848" s="50" t="n">
        <v>2</v>
      </c>
      <c r="E848" s="50" t="s">
        <v>96</v>
      </c>
      <c r="F848" s="50" t="s">
        <v>3129</v>
      </c>
      <c r="G848" s="52" t="s">
        <v>3130</v>
      </c>
      <c r="H848" s="50" t="n">
        <v>0</v>
      </c>
      <c r="I848" s="50"/>
      <c r="K848" s="50"/>
    </row>
    <row r="849" customFormat="false" ht="15" hidden="false" customHeight="false" outlineLevel="0" collapsed="false">
      <c r="A849" s="50" t="s">
        <v>3131</v>
      </c>
      <c r="B849" s="50" t="s">
        <v>3132</v>
      </c>
      <c r="C849" s="50" t="s">
        <v>95</v>
      </c>
      <c r="D849" s="50" t="n">
        <v>2</v>
      </c>
      <c r="E849" s="50" t="s">
        <v>96</v>
      </c>
      <c r="F849" s="50" t="s">
        <v>3133</v>
      </c>
      <c r="G849" s="52" t="s">
        <v>3134</v>
      </c>
      <c r="H849" s="50" t="n">
        <v>1</v>
      </c>
      <c r="I849" s="50"/>
      <c r="K849" s="50"/>
    </row>
    <row r="850" customFormat="false" ht="15" hidden="false" customHeight="false" outlineLevel="0" collapsed="false">
      <c r="A850" s="50" t="s">
        <v>3135</v>
      </c>
      <c r="B850" s="50" t="s">
        <v>3136</v>
      </c>
      <c r="C850" s="50" t="s">
        <v>95</v>
      </c>
      <c r="D850" s="50" t="n">
        <v>2</v>
      </c>
      <c r="E850" s="50" t="s">
        <v>96</v>
      </c>
      <c r="F850" s="50" t="s">
        <v>3137</v>
      </c>
      <c r="G850" s="52" t="s">
        <v>3138</v>
      </c>
      <c r="H850" s="50" t="n">
        <v>0</v>
      </c>
      <c r="I850" s="50"/>
      <c r="K850" s="50"/>
    </row>
    <row r="851" customFormat="false" ht="15" hidden="false" customHeight="false" outlineLevel="0" collapsed="false">
      <c r="A851" s="50" t="s">
        <v>3139</v>
      </c>
      <c r="B851" s="50" t="s">
        <v>3140</v>
      </c>
      <c r="C851" s="50" t="s">
        <v>95</v>
      </c>
      <c r="D851" s="50" t="n">
        <v>2</v>
      </c>
      <c r="E851" s="50" t="s">
        <v>96</v>
      </c>
      <c r="F851" s="50" t="s">
        <v>3141</v>
      </c>
      <c r="G851" s="52" t="s">
        <v>3142</v>
      </c>
      <c r="H851" s="50" t="n">
        <v>25</v>
      </c>
      <c r="I851" s="50"/>
      <c r="K851" s="50"/>
    </row>
    <row r="852" customFormat="false" ht="15" hidden="false" customHeight="false" outlineLevel="0" collapsed="false">
      <c r="A852" s="50" t="s">
        <v>3143</v>
      </c>
      <c r="B852" s="50" t="s">
        <v>3144</v>
      </c>
      <c r="C852" s="50" t="s">
        <v>95</v>
      </c>
      <c r="D852" s="50" t="n">
        <v>2</v>
      </c>
      <c r="E852" s="50" t="s">
        <v>96</v>
      </c>
      <c r="F852" s="50" t="s">
        <v>3145</v>
      </c>
      <c r="G852" s="52" t="s">
        <v>3146</v>
      </c>
      <c r="H852" s="50" t="n">
        <v>0</v>
      </c>
      <c r="I852" s="50"/>
      <c r="K852" s="50"/>
    </row>
    <row r="853" customFormat="false" ht="15" hidden="false" customHeight="false" outlineLevel="0" collapsed="false">
      <c r="A853" s="50" t="s">
        <v>3147</v>
      </c>
      <c r="B853" s="50" t="s">
        <v>3148</v>
      </c>
      <c r="C853" s="50" t="s">
        <v>95</v>
      </c>
      <c r="D853" s="50" t="n">
        <v>2</v>
      </c>
      <c r="E853" s="50" t="s">
        <v>96</v>
      </c>
      <c r="F853" s="50" t="s">
        <v>3149</v>
      </c>
      <c r="G853" s="52" t="s">
        <v>3150</v>
      </c>
      <c r="H853" s="50" t="n">
        <v>0</v>
      </c>
      <c r="I853" s="50"/>
      <c r="K853" s="50"/>
    </row>
    <row r="854" customFormat="false" ht="15" hidden="false" customHeight="false" outlineLevel="0" collapsed="false">
      <c r="A854" s="50" t="s">
        <v>3151</v>
      </c>
      <c r="B854" s="50" t="s">
        <v>3152</v>
      </c>
      <c r="C854" s="50" t="s">
        <v>95</v>
      </c>
      <c r="D854" s="50" t="n">
        <v>2</v>
      </c>
      <c r="E854" s="50" t="s">
        <v>96</v>
      </c>
      <c r="F854" s="50" t="s">
        <v>3153</v>
      </c>
      <c r="G854" s="52" t="s">
        <v>3154</v>
      </c>
      <c r="H854" s="50" t="n">
        <v>0</v>
      </c>
      <c r="I854" s="50"/>
      <c r="K854" s="50"/>
    </row>
    <row r="855" customFormat="false" ht="15" hidden="false" customHeight="false" outlineLevel="0" collapsed="false">
      <c r="A855" s="50" t="s">
        <v>3155</v>
      </c>
      <c r="B855" s="50" t="s">
        <v>3156</v>
      </c>
      <c r="C855" s="50" t="s">
        <v>95</v>
      </c>
      <c r="D855" s="50" t="n">
        <v>2</v>
      </c>
      <c r="E855" s="50" t="s">
        <v>96</v>
      </c>
      <c r="F855" s="50" t="s">
        <v>3157</v>
      </c>
      <c r="G855" s="52" t="s">
        <v>3158</v>
      </c>
      <c r="H855" s="50" t="n">
        <v>0</v>
      </c>
      <c r="I855" s="50"/>
      <c r="K855" s="50"/>
    </row>
    <row r="856" customFormat="false" ht="15" hidden="false" customHeight="false" outlineLevel="0" collapsed="false">
      <c r="A856" s="50" t="s">
        <v>3159</v>
      </c>
      <c r="B856" s="50" t="s">
        <v>3160</v>
      </c>
      <c r="C856" s="50" t="s">
        <v>95</v>
      </c>
      <c r="D856" s="50" t="n">
        <v>2</v>
      </c>
      <c r="E856" s="50" t="s">
        <v>96</v>
      </c>
      <c r="F856" s="50" t="s">
        <v>3161</v>
      </c>
      <c r="G856" s="52" t="s">
        <v>3162</v>
      </c>
      <c r="H856" s="50" t="n">
        <v>25</v>
      </c>
      <c r="I856" s="50"/>
      <c r="K856" s="50"/>
    </row>
    <row r="857" customFormat="false" ht="15" hidden="false" customHeight="false" outlineLevel="0" collapsed="false">
      <c r="A857" s="50" t="s">
        <v>3163</v>
      </c>
      <c r="B857" s="50" t="s">
        <v>3164</v>
      </c>
      <c r="C857" s="50" t="s">
        <v>95</v>
      </c>
      <c r="D857" s="50" t="n">
        <v>2</v>
      </c>
      <c r="E857" s="50" t="s">
        <v>96</v>
      </c>
      <c r="F857" s="50" t="s">
        <v>3165</v>
      </c>
      <c r="G857" s="52" t="s">
        <v>1239</v>
      </c>
      <c r="H857" s="50" t="n">
        <v>25</v>
      </c>
      <c r="I857" s="50"/>
      <c r="K857" s="50"/>
    </row>
    <row r="858" customFormat="false" ht="15" hidden="false" customHeight="false" outlineLevel="0" collapsed="false">
      <c r="A858" s="50" t="s">
        <v>3166</v>
      </c>
      <c r="B858" s="50" t="s">
        <v>3167</v>
      </c>
      <c r="C858" s="50" t="s">
        <v>95</v>
      </c>
      <c r="D858" s="50" t="n">
        <v>2</v>
      </c>
      <c r="E858" s="50" t="s">
        <v>96</v>
      </c>
      <c r="F858" s="50" t="s">
        <v>3168</v>
      </c>
      <c r="G858" s="52" t="s">
        <v>3169</v>
      </c>
      <c r="H858" s="50" t="n">
        <v>0</v>
      </c>
      <c r="I858" s="50"/>
      <c r="K858" s="50"/>
    </row>
    <row r="859" customFormat="false" ht="15" hidden="false" customHeight="false" outlineLevel="0" collapsed="false">
      <c r="A859" s="50" t="s">
        <v>3170</v>
      </c>
      <c r="B859" s="50" t="s">
        <v>3171</v>
      </c>
      <c r="C859" s="50" t="s">
        <v>95</v>
      </c>
      <c r="D859" s="50" t="n">
        <v>2</v>
      </c>
      <c r="E859" s="50" t="s">
        <v>96</v>
      </c>
      <c r="F859" s="50" t="s">
        <v>3172</v>
      </c>
      <c r="G859" s="52" t="s">
        <v>398</v>
      </c>
      <c r="H859" s="50" t="n">
        <v>1</v>
      </c>
      <c r="I859" s="50"/>
      <c r="K859" s="50"/>
    </row>
    <row r="860" customFormat="false" ht="15" hidden="false" customHeight="false" outlineLevel="0" collapsed="false">
      <c r="A860" s="50" t="s">
        <v>3173</v>
      </c>
      <c r="B860" s="50" t="s">
        <v>3174</v>
      </c>
      <c r="C860" s="50" t="s">
        <v>95</v>
      </c>
      <c r="D860" s="50" t="n">
        <v>20</v>
      </c>
      <c r="E860" s="50" t="s">
        <v>113</v>
      </c>
      <c r="F860" s="50" t="s">
        <v>3175</v>
      </c>
      <c r="G860" s="52" t="s">
        <v>3176</v>
      </c>
      <c r="H860" s="50" t="n">
        <v>1</v>
      </c>
      <c r="I860" s="50"/>
      <c r="K860" s="50"/>
    </row>
    <row r="861" customFormat="false" ht="15" hidden="false" customHeight="false" outlineLevel="0" collapsed="false">
      <c r="A861" s="50" t="s">
        <v>3177</v>
      </c>
      <c r="B861" s="50" t="s">
        <v>3178</v>
      </c>
      <c r="C861" s="50" t="s">
        <v>95</v>
      </c>
      <c r="D861" s="50" t="n">
        <v>2</v>
      </c>
      <c r="E861" s="50" t="s">
        <v>96</v>
      </c>
      <c r="F861" s="50" t="s">
        <v>3179</v>
      </c>
      <c r="G861" s="52" t="s">
        <v>3180</v>
      </c>
      <c r="H861" s="50" t="n">
        <v>1</v>
      </c>
      <c r="I861" s="50"/>
      <c r="K861" s="50"/>
    </row>
    <row r="862" customFormat="false" ht="15" hidden="false" customHeight="false" outlineLevel="0" collapsed="false">
      <c r="A862" s="50" t="s">
        <v>3181</v>
      </c>
      <c r="B862" s="50" t="s">
        <v>3182</v>
      </c>
      <c r="C862" s="50" t="s">
        <v>95</v>
      </c>
      <c r="D862" s="50" t="n">
        <v>2</v>
      </c>
      <c r="E862" s="50" t="s">
        <v>96</v>
      </c>
      <c r="F862" s="50" t="s">
        <v>3183</v>
      </c>
      <c r="G862" s="52" t="s">
        <v>3184</v>
      </c>
      <c r="H862" s="50" t="n">
        <v>1</v>
      </c>
      <c r="I862" s="50"/>
      <c r="K862" s="50"/>
    </row>
    <row r="863" customFormat="false" ht="15" hidden="false" customHeight="false" outlineLevel="0" collapsed="false">
      <c r="A863" s="50" t="s">
        <v>3185</v>
      </c>
      <c r="B863" s="50" t="s">
        <v>3186</v>
      </c>
      <c r="C863" s="50" t="s">
        <v>95</v>
      </c>
      <c r="D863" s="50" t="n">
        <v>2</v>
      </c>
      <c r="E863" s="50" t="s">
        <v>96</v>
      </c>
      <c r="F863" s="50" t="s">
        <v>3187</v>
      </c>
      <c r="G863" s="52" t="s">
        <v>3188</v>
      </c>
      <c r="H863" s="50" t="n">
        <v>0</v>
      </c>
      <c r="I863" s="50"/>
      <c r="K863" s="50"/>
    </row>
    <row r="864" customFormat="false" ht="15" hidden="false" customHeight="false" outlineLevel="0" collapsed="false">
      <c r="A864" s="50" t="s">
        <v>3189</v>
      </c>
      <c r="B864" s="50" t="s">
        <v>3190</v>
      </c>
      <c r="C864" s="50" t="s">
        <v>95</v>
      </c>
      <c r="D864" s="50" t="n">
        <v>10</v>
      </c>
      <c r="E864" s="50" t="s">
        <v>113</v>
      </c>
      <c r="F864" s="50" t="s">
        <v>3191</v>
      </c>
      <c r="G864" s="52" t="s">
        <v>1239</v>
      </c>
      <c r="H864" s="50" t="n">
        <v>0</v>
      </c>
      <c r="I864" s="50"/>
      <c r="K864" s="50"/>
    </row>
    <row r="865" customFormat="false" ht="15" hidden="false" customHeight="false" outlineLevel="0" collapsed="false">
      <c r="A865" s="50" t="s">
        <v>3192</v>
      </c>
      <c r="B865" s="50" t="s">
        <v>3193</v>
      </c>
      <c r="C865" s="50" t="s">
        <v>95</v>
      </c>
      <c r="D865" s="50" t="n">
        <v>2</v>
      </c>
      <c r="E865" s="50" t="s">
        <v>96</v>
      </c>
      <c r="F865" s="50" t="s">
        <v>3194</v>
      </c>
      <c r="G865" s="52" t="s">
        <v>3195</v>
      </c>
      <c r="H865" s="50" t="n">
        <v>1</v>
      </c>
      <c r="I865" s="50"/>
      <c r="K865" s="50"/>
    </row>
    <row r="866" customFormat="false" ht="15" hidden="false" customHeight="false" outlineLevel="0" collapsed="false">
      <c r="A866" s="50" t="s">
        <v>3196</v>
      </c>
      <c r="B866" s="50" t="s">
        <v>3197</v>
      </c>
      <c r="C866" s="50" t="s">
        <v>95</v>
      </c>
      <c r="D866" s="50" t="n">
        <v>2</v>
      </c>
      <c r="E866" s="50" t="s">
        <v>96</v>
      </c>
      <c r="F866" s="50" t="s">
        <v>3198</v>
      </c>
      <c r="G866" s="52" t="s">
        <v>3199</v>
      </c>
      <c r="H866" s="50" t="n">
        <v>0</v>
      </c>
      <c r="I866" s="50"/>
      <c r="K866" s="50"/>
    </row>
    <row r="867" customFormat="false" ht="25.5" hidden="false" customHeight="false" outlineLevel="0" collapsed="false">
      <c r="A867" s="50" t="s">
        <v>3200</v>
      </c>
      <c r="B867" s="50" t="s">
        <v>3201</v>
      </c>
      <c r="C867" s="50" t="s">
        <v>95</v>
      </c>
      <c r="D867" s="50" t="n">
        <v>2</v>
      </c>
      <c r="E867" s="50" t="s">
        <v>96</v>
      </c>
      <c r="F867" s="50" t="s">
        <v>3202</v>
      </c>
      <c r="G867" s="52" t="s">
        <v>3203</v>
      </c>
      <c r="H867" s="50" t="n">
        <v>1</v>
      </c>
      <c r="I867" s="50"/>
      <c r="K867" s="50"/>
    </row>
    <row r="868" customFormat="false" ht="15" hidden="false" customHeight="false" outlineLevel="0" collapsed="false">
      <c r="A868" s="50" t="s">
        <v>3204</v>
      </c>
      <c r="B868" s="50" t="s">
        <v>3205</v>
      </c>
      <c r="C868" s="50" t="s">
        <v>95</v>
      </c>
      <c r="D868" s="50" t="n">
        <v>2</v>
      </c>
      <c r="E868" s="50" t="s">
        <v>96</v>
      </c>
      <c r="F868" s="50" t="s">
        <v>3206</v>
      </c>
      <c r="G868" s="52" t="s">
        <v>3207</v>
      </c>
      <c r="H868" s="50" t="n">
        <v>0</v>
      </c>
      <c r="I868" s="50"/>
      <c r="K868" s="50"/>
    </row>
    <row r="869" customFormat="false" ht="15" hidden="false" customHeight="false" outlineLevel="0" collapsed="false">
      <c r="A869" s="50" t="s">
        <v>3208</v>
      </c>
      <c r="B869" s="50" t="s">
        <v>3209</v>
      </c>
      <c r="C869" s="50" t="s">
        <v>95</v>
      </c>
      <c r="D869" s="50" t="n">
        <v>2</v>
      </c>
      <c r="E869" s="50" t="s">
        <v>96</v>
      </c>
      <c r="F869" s="50" t="s">
        <v>3210</v>
      </c>
      <c r="G869" s="52" t="s">
        <v>3211</v>
      </c>
      <c r="H869" s="50" t="n">
        <v>25</v>
      </c>
      <c r="I869" s="50"/>
      <c r="K869" s="50"/>
    </row>
    <row r="870" customFormat="false" ht="15" hidden="false" customHeight="false" outlineLevel="0" collapsed="false">
      <c r="A870" s="50" t="s">
        <v>3212</v>
      </c>
      <c r="B870" s="50" t="s">
        <v>3213</v>
      </c>
      <c r="C870" s="50" t="s">
        <v>95</v>
      </c>
      <c r="D870" s="50" t="n">
        <v>2</v>
      </c>
      <c r="E870" s="50" t="s">
        <v>96</v>
      </c>
      <c r="F870" s="50" t="s">
        <v>3214</v>
      </c>
      <c r="G870" s="52" t="s">
        <v>3215</v>
      </c>
      <c r="H870" s="50" t="n">
        <v>1</v>
      </c>
      <c r="I870" s="50"/>
      <c r="K870" s="50"/>
    </row>
    <row r="871" customFormat="false" ht="15" hidden="false" customHeight="false" outlineLevel="0" collapsed="false">
      <c r="A871" s="50" t="s">
        <v>3216</v>
      </c>
      <c r="B871" s="50" t="s">
        <v>3217</v>
      </c>
      <c r="C871" s="50" t="s">
        <v>95</v>
      </c>
      <c r="D871" s="50" t="n">
        <v>2</v>
      </c>
      <c r="E871" s="50" t="s">
        <v>96</v>
      </c>
      <c r="F871" s="50" t="s">
        <v>3218</v>
      </c>
      <c r="G871" s="52" t="s">
        <v>3219</v>
      </c>
      <c r="H871" s="50" t="n">
        <v>0</v>
      </c>
      <c r="I871" s="50"/>
      <c r="K871" s="50"/>
    </row>
    <row r="872" customFormat="false" ht="25.5" hidden="false" customHeight="false" outlineLevel="0" collapsed="false">
      <c r="A872" s="50" t="s">
        <v>3220</v>
      </c>
      <c r="B872" s="50" t="s">
        <v>3221</v>
      </c>
      <c r="C872" s="50" t="s">
        <v>95</v>
      </c>
      <c r="D872" s="50" t="n">
        <v>2</v>
      </c>
      <c r="E872" s="50" t="s">
        <v>96</v>
      </c>
      <c r="F872" s="50" t="s">
        <v>3222</v>
      </c>
      <c r="G872" s="52" t="s">
        <v>3223</v>
      </c>
      <c r="H872" s="50" t="n">
        <v>1</v>
      </c>
      <c r="I872" s="50"/>
      <c r="K872" s="50"/>
    </row>
    <row r="873" customFormat="false" ht="15" hidden="false" customHeight="false" outlineLevel="0" collapsed="false">
      <c r="A873" s="50" t="s">
        <v>3224</v>
      </c>
      <c r="B873" s="50" t="s">
        <v>3225</v>
      </c>
      <c r="C873" s="50" t="s">
        <v>238</v>
      </c>
      <c r="D873" s="50" t="n">
        <v>2</v>
      </c>
      <c r="E873" s="50" t="s">
        <v>96</v>
      </c>
      <c r="F873" s="50" t="s">
        <v>3226</v>
      </c>
      <c r="G873" s="52" t="s">
        <v>3227</v>
      </c>
      <c r="H873" s="50" t="n">
        <v>0</v>
      </c>
      <c r="I873" s="50"/>
      <c r="K873" s="50"/>
    </row>
    <row r="874" customFormat="false" ht="15" hidden="false" customHeight="false" outlineLevel="0" collapsed="false">
      <c r="A874" s="50" t="s">
        <v>3228</v>
      </c>
      <c r="B874" s="50" t="s">
        <v>3229</v>
      </c>
      <c r="C874" s="50" t="s">
        <v>95</v>
      </c>
      <c r="D874" s="50" t="n">
        <v>2</v>
      </c>
      <c r="E874" s="50" t="s">
        <v>96</v>
      </c>
      <c r="F874" s="50" t="s">
        <v>3230</v>
      </c>
      <c r="G874" s="52" t="s">
        <v>3231</v>
      </c>
      <c r="H874" s="50" t="n">
        <v>0</v>
      </c>
      <c r="I874" s="50"/>
      <c r="K874" s="50"/>
    </row>
    <row r="875" customFormat="false" ht="15" hidden="false" customHeight="false" outlineLevel="0" collapsed="false">
      <c r="A875" s="50" t="s">
        <v>3232</v>
      </c>
      <c r="B875" s="50" t="s">
        <v>3233</v>
      </c>
      <c r="C875" s="50" t="s">
        <v>238</v>
      </c>
      <c r="D875" s="50" t="n">
        <v>2</v>
      </c>
      <c r="E875" s="50" t="s">
        <v>96</v>
      </c>
      <c r="F875" s="50" t="s">
        <v>3234</v>
      </c>
      <c r="G875" s="52" t="s">
        <v>3235</v>
      </c>
      <c r="H875" s="50" t="n">
        <v>0</v>
      </c>
      <c r="I875" s="50"/>
      <c r="K875" s="50"/>
    </row>
    <row r="876" customFormat="false" ht="15" hidden="false" customHeight="false" outlineLevel="0" collapsed="false">
      <c r="A876" s="50" t="s">
        <v>3236</v>
      </c>
      <c r="B876" s="50" t="s">
        <v>3237</v>
      </c>
      <c r="C876" s="50" t="s">
        <v>238</v>
      </c>
      <c r="D876" s="50" t="n">
        <v>2</v>
      </c>
      <c r="E876" s="50" t="s">
        <v>96</v>
      </c>
      <c r="F876" s="50" t="s">
        <v>3238</v>
      </c>
      <c r="G876" s="52" t="s">
        <v>215</v>
      </c>
      <c r="H876" s="50" t="n">
        <v>0</v>
      </c>
      <c r="I876" s="50"/>
      <c r="K876" s="50"/>
    </row>
    <row r="877" customFormat="false" ht="15" hidden="false" customHeight="false" outlineLevel="0" collapsed="false">
      <c r="A877" s="50" t="s">
        <v>3239</v>
      </c>
      <c r="B877" s="50" t="s">
        <v>3240</v>
      </c>
      <c r="C877" s="50" t="s">
        <v>238</v>
      </c>
      <c r="D877" s="50" t="n">
        <v>2</v>
      </c>
      <c r="E877" s="50" t="s">
        <v>96</v>
      </c>
      <c r="F877" s="50" t="s">
        <v>3241</v>
      </c>
      <c r="G877" s="52" t="s">
        <v>3242</v>
      </c>
      <c r="H877" s="50" t="n">
        <v>0</v>
      </c>
      <c r="I877" s="50"/>
      <c r="K877" s="50"/>
    </row>
    <row r="878" customFormat="false" ht="15" hidden="false" customHeight="false" outlineLevel="0" collapsed="false">
      <c r="A878" s="50" t="s">
        <v>3243</v>
      </c>
      <c r="B878" s="50" t="s">
        <v>3244</v>
      </c>
      <c r="C878" s="50" t="s">
        <v>95</v>
      </c>
      <c r="D878" s="50" t="n">
        <v>2</v>
      </c>
      <c r="E878" s="50" t="s">
        <v>96</v>
      </c>
      <c r="F878" s="50" t="s">
        <v>3234</v>
      </c>
      <c r="G878" s="52" t="s">
        <v>3245</v>
      </c>
      <c r="H878" s="50" t="n">
        <v>1</v>
      </c>
      <c r="I878" s="50"/>
      <c r="K878" s="50"/>
    </row>
    <row r="879" customFormat="false" ht="15" hidden="false" customHeight="false" outlineLevel="0" collapsed="false">
      <c r="A879" s="50" t="s">
        <v>3246</v>
      </c>
      <c r="B879" s="50" t="s">
        <v>3247</v>
      </c>
      <c r="C879" s="50" t="s">
        <v>95</v>
      </c>
      <c r="D879" s="50" t="n">
        <v>2</v>
      </c>
      <c r="E879" s="50" t="s">
        <v>96</v>
      </c>
      <c r="F879" s="50" t="s">
        <v>3238</v>
      </c>
      <c r="G879" s="52" t="s">
        <v>1868</v>
      </c>
      <c r="H879" s="50" t="n">
        <v>0</v>
      </c>
      <c r="I879" s="50"/>
      <c r="K879" s="50"/>
    </row>
    <row r="880" customFormat="false" ht="15" hidden="false" customHeight="false" outlineLevel="0" collapsed="false">
      <c r="A880" s="50" t="s">
        <v>3248</v>
      </c>
      <c r="B880" s="50" t="s">
        <v>3249</v>
      </c>
      <c r="C880" s="50" t="s">
        <v>95</v>
      </c>
      <c r="D880" s="50" t="n">
        <v>2</v>
      </c>
      <c r="E880" s="50" t="s">
        <v>96</v>
      </c>
      <c r="F880" s="50" t="s">
        <v>3226</v>
      </c>
      <c r="G880" s="52" t="s">
        <v>3250</v>
      </c>
      <c r="H880" s="50" t="n">
        <v>0</v>
      </c>
      <c r="I880" s="50"/>
      <c r="K880" s="50"/>
    </row>
    <row r="881" customFormat="false" ht="15" hidden="false" customHeight="false" outlineLevel="0" collapsed="false">
      <c r="A881" s="50" t="s">
        <v>3251</v>
      </c>
      <c r="B881" s="50" t="s">
        <v>3252</v>
      </c>
      <c r="C881" s="50" t="s">
        <v>95</v>
      </c>
      <c r="D881" s="50" t="n">
        <v>2</v>
      </c>
      <c r="E881" s="50" t="s">
        <v>96</v>
      </c>
      <c r="F881" s="50" t="s">
        <v>3241</v>
      </c>
      <c r="G881" s="52" t="s">
        <v>3253</v>
      </c>
      <c r="H881" s="50" t="n">
        <v>0</v>
      </c>
      <c r="I881" s="50"/>
      <c r="K881" s="50"/>
    </row>
    <row r="882" customFormat="false" ht="15" hidden="false" customHeight="false" outlineLevel="0" collapsed="false">
      <c r="A882" s="50" t="s">
        <v>3254</v>
      </c>
      <c r="B882" s="50" t="s">
        <v>3255</v>
      </c>
      <c r="C882" s="50" t="s">
        <v>95</v>
      </c>
      <c r="D882" s="50" t="n">
        <v>2</v>
      </c>
      <c r="E882" s="50" t="s">
        <v>96</v>
      </c>
      <c r="F882" s="50" t="s">
        <v>3256</v>
      </c>
      <c r="G882" s="52" t="s">
        <v>461</v>
      </c>
      <c r="H882" s="50" t="n">
        <v>200</v>
      </c>
      <c r="I882" s="50"/>
      <c r="K882" s="50"/>
    </row>
    <row r="883" customFormat="false" ht="15" hidden="false" customHeight="false" outlineLevel="0" collapsed="false">
      <c r="A883" s="50" t="s">
        <v>3257</v>
      </c>
      <c r="B883" s="50" t="s">
        <v>3258</v>
      </c>
      <c r="C883" s="50" t="s">
        <v>95</v>
      </c>
      <c r="D883" s="50" t="n">
        <v>2</v>
      </c>
      <c r="E883" s="50" t="s">
        <v>96</v>
      </c>
      <c r="F883" s="50" t="s">
        <v>3259</v>
      </c>
      <c r="G883" s="52" t="s">
        <v>3260</v>
      </c>
      <c r="H883" s="50" t="n">
        <v>6</v>
      </c>
      <c r="I883" s="50"/>
      <c r="K883" s="50"/>
    </row>
    <row r="884" customFormat="false" ht="15" hidden="false" customHeight="false" outlineLevel="0" collapsed="false">
      <c r="A884" s="50" t="s">
        <v>3261</v>
      </c>
      <c r="B884" s="50" t="s">
        <v>3262</v>
      </c>
      <c r="C884" s="50" t="s">
        <v>95</v>
      </c>
      <c r="D884" s="50" t="n">
        <v>2</v>
      </c>
      <c r="E884" s="50" t="s">
        <v>96</v>
      </c>
      <c r="F884" s="50" t="s">
        <v>3263</v>
      </c>
      <c r="G884" s="52" t="s">
        <v>3169</v>
      </c>
      <c r="H884" s="50" t="n">
        <v>0</v>
      </c>
      <c r="I884" s="50"/>
      <c r="K884" s="50"/>
    </row>
    <row r="885" customFormat="false" ht="15" hidden="false" customHeight="false" outlineLevel="0" collapsed="false">
      <c r="A885" s="50" t="s">
        <v>3264</v>
      </c>
      <c r="B885" s="50" t="s">
        <v>3265</v>
      </c>
      <c r="C885" s="50" t="s">
        <v>95</v>
      </c>
      <c r="D885" s="50" t="n">
        <v>2</v>
      </c>
      <c r="E885" s="50" t="s">
        <v>96</v>
      </c>
      <c r="F885" s="50" t="s">
        <v>3266</v>
      </c>
      <c r="G885" s="52" t="s">
        <v>3267</v>
      </c>
      <c r="H885" s="50" t="n">
        <v>280</v>
      </c>
      <c r="I885" s="50"/>
      <c r="K885" s="50"/>
    </row>
    <row r="886" customFormat="false" ht="15" hidden="false" customHeight="false" outlineLevel="0" collapsed="false">
      <c r="A886" s="50" t="s">
        <v>3268</v>
      </c>
      <c r="B886" s="50" t="s">
        <v>3269</v>
      </c>
      <c r="C886" s="50" t="s">
        <v>95</v>
      </c>
      <c r="D886" s="50" t="n">
        <v>2</v>
      </c>
      <c r="E886" s="50" t="s">
        <v>96</v>
      </c>
      <c r="F886" s="50" t="s">
        <v>3270</v>
      </c>
      <c r="G886" s="52" t="s">
        <v>3267</v>
      </c>
      <c r="H886" s="50" t="n">
        <v>14</v>
      </c>
      <c r="I886" s="50"/>
      <c r="K886" s="50"/>
    </row>
    <row r="887" customFormat="false" ht="15" hidden="false" customHeight="false" outlineLevel="0" collapsed="false">
      <c r="A887" s="50" t="s">
        <v>3271</v>
      </c>
      <c r="B887" s="50" t="s">
        <v>3272</v>
      </c>
      <c r="C887" s="50" t="s">
        <v>95</v>
      </c>
      <c r="D887" s="50" t="n">
        <v>2</v>
      </c>
      <c r="E887" s="50" t="s">
        <v>96</v>
      </c>
      <c r="F887" s="50" t="s">
        <v>3273</v>
      </c>
      <c r="G887" s="52" t="s">
        <v>3274</v>
      </c>
      <c r="H887" s="50" t="n">
        <v>5</v>
      </c>
      <c r="I887" s="50"/>
      <c r="K887" s="50"/>
    </row>
    <row r="888" customFormat="false" ht="15" hidden="false" customHeight="false" outlineLevel="0" collapsed="false">
      <c r="A888" s="50" t="s">
        <v>3275</v>
      </c>
      <c r="B888" s="50" t="s">
        <v>3276</v>
      </c>
      <c r="C888" s="50" t="s">
        <v>95</v>
      </c>
      <c r="D888" s="50" t="n">
        <v>2</v>
      </c>
      <c r="E888" s="50" t="s">
        <v>96</v>
      </c>
      <c r="F888" s="50" t="s">
        <v>3277</v>
      </c>
      <c r="G888" s="52" t="s">
        <v>3278</v>
      </c>
      <c r="H888" s="50" t="n">
        <v>1</v>
      </c>
      <c r="I888" s="50"/>
      <c r="K888" s="50"/>
    </row>
    <row r="889" customFormat="false" ht="15" hidden="false" customHeight="false" outlineLevel="0" collapsed="false">
      <c r="A889" s="50" t="s">
        <v>3279</v>
      </c>
      <c r="B889" s="50" t="s">
        <v>3280</v>
      </c>
      <c r="C889" s="50" t="s">
        <v>95</v>
      </c>
      <c r="D889" s="50" t="n">
        <v>2</v>
      </c>
      <c r="E889" s="50" t="s">
        <v>96</v>
      </c>
      <c r="F889" s="50" t="s">
        <v>3281</v>
      </c>
      <c r="G889" s="52" t="s">
        <v>3184</v>
      </c>
      <c r="H889" s="50" t="n">
        <v>1</v>
      </c>
      <c r="I889" s="50"/>
      <c r="K889" s="50"/>
    </row>
    <row r="890" customFormat="false" ht="15" hidden="false" customHeight="false" outlineLevel="0" collapsed="false">
      <c r="A890" s="50" t="s">
        <v>3282</v>
      </c>
      <c r="B890" s="50" t="s">
        <v>3283</v>
      </c>
      <c r="C890" s="50" t="s">
        <v>95</v>
      </c>
      <c r="D890" s="50" t="n">
        <v>2</v>
      </c>
      <c r="E890" s="50" t="s">
        <v>96</v>
      </c>
      <c r="F890" s="50" t="s">
        <v>3284</v>
      </c>
      <c r="G890" s="52" t="s">
        <v>3285</v>
      </c>
      <c r="H890" s="50" t="n">
        <v>0</v>
      </c>
      <c r="I890" s="50"/>
      <c r="K890" s="50"/>
    </row>
    <row r="891" customFormat="false" ht="15" hidden="false" customHeight="false" outlineLevel="0" collapsed="false">
      <c r="A891" s="50" t="s">
        <v>3286</v>
      </c>
      <c r="B891" s="50" t="s">
        <v>3287</v>
      </c>
      <c r="C891" s="50" t="s">
        <v>95</v>
      </c>
      <c r="D891" s="50" t="n">
        <v>2</v>
      </c>
      <c r="E891" s="50" t="s">
        <v>96</v>
      </c>
      <c r="F891" s="50" t="s">
        <v>3288</v>
      </c>
      <c r="G891" s="52" t="s">
        <v>3289</v>
      </c>
      <c r="H891" s="50" t="n">
        <v>25</v>
      </c>
      <c r="I891" s="50"/>
      <c r="K891" s="50"/>
    </row>
    <row r="892" customFormat="false" ht="15" hidden="false" customHeight="false" outlineLevel="0" collapsed="false">
      <c r="A892" s="50" t="s">
        <v>3290</v>
      </c>
      <c r="B892" s="50" t="s">
        <v>3291</v>
      </c>
      <c r="C892" s="50" t="s">
        <v>95</v>
      </c>
      <c r="D892" s="50" t="n">
        <v>2</v>
      </c>
      <c r="E892" s="50" t="s">
        <v>96</v>
      </c>
      <c r="F892" s="50" t="s">
        <v>3292</v>
      </c>
      <c r="G892" s="52" t="s">
        <v>3293</v>
      </c>
      <c r="H892" s="50" t="n">
        <v>0</v>
      </c>
      <c r="I892" s="50"/>
      <c r="K892" s="50"/>
    </row>
    <row r="893" customFormat="false" ht="15" hidden="false" customHeight="false" outlineLevel="0" collapsed="false">
      <c r="A893" s="50" t="s">
        <v>3294</v>
      </c>
      <c r="B893" s="50" t="s">
        <v>3295</v>
      </c>
      <c r="C893" s="50" t="s">
        <v>95</v>
      </c>
      <c r="D893" s="50" t="n">
        <v>2</v>
      </c>
      <c r="E893" s="50" t="s">
        <v>96</v>
      </c>
      <c r="F893" s="50" t="s">
        <v>3296</v>
      </c>
      <c r="G893" s="52" t="s">
        <v>3297</v>
      </c>
      <c r="H893" s="50" t="n">
        <v>0</v>
      </c>
      <c r="I893" s="50"/>
      <c r="K893" s="50"/>
    </row>
    <row r="894" customFormat="false" ht="15" hidden="false" customHeight="false" outlineLevel="0" collapsed="false">
      <c r="A894" s="50" t="s">
        <v>3298</v>
      </c>
      <c r="B894" s="50" t="s">
        <v>3299</v>
      </c>
      <c r="C894" s="50" t="s">
        <v>95</v>
      </c>
      <c r="D894" s="50" t="n">
        <v>2</v>
      </c>
      <c r="E894" s="50" t="s">
        <v>96</v>
      </c>
      <c r="F894" s="50" t="s">
        <v>3300</v>
      </c>
      <c r="G894" s="52" t="s">
        <v>3301</v>
      </c>
      <c r="H894" s="50" t="n">
        <v>0</v>
      </c>
      <c r="I894" s="50"/>
      <c r="K894" s="50"/>
    </row>
    <row r="895" customFormat="false" ht="15" hidden="false" customHeight="false" outlineLevel="0" collapsed="false">
      <c r="A895" s="50" t="s">
        <v>3302</v>
      </c>
      <c r="B895" s="50" t="s">
        <v>3303</v>
      </c>
      <c r="C895" s="50" t="s">
        <v>95</v>
      </c>
      <c r="D895" s="50" t="n">
        <v>2</v>
      </c>
      <c r="E895" s="50" t="s">
        <v>96</v>
      </c>
      <c r="F895" s="50" t="s">
        <v>3304</v>
      </c>
      <c r="G895" s="52" t="s">
        <v>3305</v>
      </c>
      <c r="H895" s="50" t="n">
        <v>0</v>
      </c>
      <c r="I895" s="50"/>
      <c r="K895" s="50"/>
    </row>
    <row r="896" customFormat="false" ht="15" hidden="false" customHeight="false" outlineLevel="0" collapsed="false">
      <c r="A896" s="50" t="s">
        <v>3306</v>
      </c>
      <c r="B896" s="50" t="s">
        <v>3307</v>
      </c>
      <c r="C896" s="50" t="s">
        <v>95</v>
      </c>
      <c r="D896" s="50" t="n">
        <v>2</v>
      </c>
      <c r="E896" s="50" t="s">
        <v>96</v>
      </c>
      <c r="F896" s="50" t="s">
        <v>3308</v>
      </c>
      <c r="G896" s="52" t="s">
        <v>3309</v>
      </c>
      <c r="H896" s="50" t="n">
        <v>0</v>
      </c>
      <c r="I896" s="50"/>
      <c r="K896" s="50"/>
    </row>
    <row r="897" customFormat="false" ht="15" hidden="false" customHeight="false" outlineLevel="0" collapsed="false">
      <c r="A897" s="50" t="s">
        <v>3310</v>
      </c>
      <c r="B897" s="50" t="s">
        <v>3311</v>
      </c>
      <c r="C897" s="50" t="s">
        <v>95</v>
      </c>
      <c r="D897" s="50" t="n">
        <v>2</v>
      </c>
      <c r="E897" s="50" t="s">
        <v>96</v>
      </c>
      <c r="F897" s="50" t="s">
        <v>3312</v>
      </c>
      <c r="G897" s="52" t="s">
        <v>3313</v>
      </c>
      <c r="H897" s="50" t="n">
        <v>0</v>
      </c>
      <c r="I897" s="50"/>
      <c r="K897" s="50"/>
    </row>
    <row r="898" customFormat="false" ht="15" hidden="false" customHeight="false" outlineLevel="0" collapsed="false">
      <c r="A898" s="50" t="s">
        <v>3314</v>
      </c>
      <c r="B898" s="50" t="s">
        <v>3315</v>
      </c>
      <c r="C898" s="50" t="s">
        <v>95</v>
      </c>
      <c r="D898" s="50" t="n">
        <v>2</v>
      </c>
      <c r="E898" s="50" t="s">
        <v>96</v>
      </c>
      <c r="F898" s="50" t="s">
        <v>3316</v>
      </c>
      <c r="G898" s="52" t="s">
        <v>3317</v>
      </c>
      <c r="H898" s="50" t="n">
        <v>20</v>
      </c>
      <c r="I898" s="50"/>
      <c r="K898" s="50"/>
    </row>
    <row r="899" customFormat="false" ht="15" hidden="false" customHeight="false" outlineLevel="0" collapsed="false">
      <c r="A899" s="50" t="s">
        <v>3318</v>
      </c>
      <c r="B899" s="50" t="s">
        <v>3319</v>
      </c>
      <c r="C899" s="50" t="s">
        <v>95</v>
      </c>
      <c r="D899" s="50" t="n">
        <v>2</v>
      </c>
      <c r="E899" s="50" t="s">
        <v>96</v>
      </c>
      <c r="F899" s="50" t="s">
        <v>3320</v>
      </c>
      <c r="G899" s="52" t="s">
        <v>3321</v>
      </c>
      <c r="H899" s="50" t="n">
        <v>0</v>
      </c>
      <c r="I899" s="50"/>
      <c r="K899" s="50"/>
    </row>
    <row r="900" customFormat="false" ht="15" hidden="false" customHeight="false" outlineLevel="0" collapsed="false">
      <c r="A900" s="50" t="s">
        <v>3322</v>
      </c>
      <c r="B900" s="50" t="s">
        <v>3323</v>
      </c>
      <c r="C900" s="50" t="s">
        <v>95</v>
      </c>
      <c r="D900" s="50" t="n">
        <v>2</v>
      </c>
      <c r="E900" s="50" t="s">
        <v>96</v>
      </c>
      <c r="F900" s="50" t="s">
        <v>3324</v>
      </c>
      <c r="G900" s="52" t="s">
        <v>3325</v>
      </c>
      <c r="H900" s="50" t="n">
        <v>0</v>
      </c>
      <c r="I900" s="50"/>
      <c r="K900" s="50"/>
    </row>
    <row r="901" customFormat="false" ht="15" hidden="false" customHeight="false" outlineLevel="0" collapsed="false">
      <c r="A901" s="50" t="s">
        <v>3326</v>
      </c>
      <c r="B901" s="50" t="s">
        <v>3327</v>
      </c>
      <c r="C901" s="50" t="s">
        <v>95</v>
      </c>
      <c r="D901" s="50" t="n">
        <v>2</v>
      </c>
      <c r="E901" s="50" t="s">
        <v>96</v>
      </c>
      <c r="F901" s="50" t="s">
        <v>3328</v>
      </c>
      <c r="G901" s="52" t="s">
        <v>3329</v>
      </c>
      <c r="H901" s="50" t="n">
        <v>0</v>
      </c>
      <c r="I901" s="50"/>
      <c r="K901" s="50"/>
    </row>
    <row r="902" customFormat="false" ht="15" hidden="false" customHeight="false" outlineLevel="0" collapsed="false">
      <c r="A902" s="50" t="s">
        <v>3330</v>
      </c>
      <c r="B902" s="50" t="s">
        <v>3331</v>
      </c>
      <c r="C902" s="50" t="s">
        <v>95</v>
      </c>
      <c r="D902" s="50" t="n">
        <v>2</v>
      </c>
      <c r="E902" s="50" t="s">
        <v>96</v>
      </c>
      <c r="F902" s="50" t="s">
        <v>3332</v>
      </c>
      <c r="G902" s="52" t="s">
        <v>3333</v>
      </c>
      <c r="H902" s="50" t="n">
        <v>0</v>
      </c>
      <c r="I902" s="50"/>
      <c r="K902" s="50"/>
    </row>
    <row r="903" customFormat="false" ht="15" hidden="false" customHeight="false" outlineLevel="0" collapsed="false">
      <c r="A903" s="50" t="s">
        <v>3334</v>
      </c>
      <c r="B903" s="50" t="s">
        <v>3335</v>
      </c>
      <c r="C903" s="50" t="s">
        <v>95</v>
      </c>
      <c r="D903" s="50" t="n">
        <v>2</v>
      </c>
      <c r="E903" s="50" t="s">
        <v>96</v>
      </c>
      <c r="F903" s="50" t="s">
        <v>3336</v>
      </c>
      <c r="G903" s="52" t="s">
        <v>2156</v>
      </c>
      <c r="H903" s="50" t="n">
        <v>0</v>
      </c>
      <c r="I903" s="50"/>
      <c r="K903" s="50"/>
    </row>
    <row r="904" customFormat="false" ht="15" hidden="false" customHeight="false" outlineLevel="0" collapsed="false">
      <c r="A904" s="50" t="s">
        <v>3337</v>
      </c>
      <c r="B904" s="50" t="s">
        <v>3338</v>
      </c>
      <c r="C904" s="50" t="s">
        <v>95</v>
      </c>
      <c r="D904" s="50" t="n">
        <v>2</v>
      </c>
      <c r="E904" s="50" t="s">
        <v>96</v>
      </c>
      <c r="F904" s="50" t="s">
        <v>3339</v>
      </c>
      <c r="G904" s="52" t="s">
        <v>3340</v>
      </c>
      <c r="H904" s="50" t="n">
        <v>0</v>
      </c>
      <c r="I904" s="50"/>
      <c r="K904" s="50"/>
    </row>
    <row r="905" customFormat="false" ht="15" hidden="false" customHeight="false" outlineLevel="0" collapsed="false">
      <c r="A905" s="50" t="s">
        <v>3341</v>
      </c>
      <c r="B905" s="50" t="s">
        <v>3342</v>
      </c>
      <c r="C905" s="50" t="s">
        <v>95</v>
      </c>
      <c r="D905" s="50" t="n">
        <v>2</v>
      </c>
      <c r="E905" s="50" t="s">
        <v>96</v>
      </c>
      <c r="F905" s="50" t="s">
        <v>3343</v>
      </c>
      <c r="G905" s="52" t="s">
        <v>2198</v>
      </c>
      <c r="H905" s="50" t="n">
        <v>0</v>
      </c>
      <c r="I905" s="50"/>
      <c r="K905" s="50"/>
    </row>
    <row r="906" customFormat="false" ht="15" hidden="false" customHeight="false" outlineLevel="0" collapsed="false">
      <c r="A906" s="50" t="s">
        <v>3344</v>
      </c>
      <c r="B906" s="50" t="s">
        <v>3345</v>
      </c>
      <c r="C906" s="50" t="s">
        <v>95</v>
      </c>
      <c r="D906" s="50" t="n">
        <v>2</v>
      </c>
      <c r="E906" s="50" t="s">
        <v>96</v>
      </c>
      <c r="F906" s="50" t="s">
        <v>3346</v>
      </c>
      <c r="G906" s="52" t="s">
        <v>3347</v>
      </c>
      <c r="H906" s="50" t="n">
        <v>0</v>
      </c>
      <c r="I906" s="50"/>
      <c r="K906" s="50"/>
    </row>
    <row r="907" customFormat="false" ht="15" hidden="false" customHeight="false" outlineLevel="0" collapsed="false">
      <c r="A907" s="50" t="s">
        <v>3348</v>
      </c>
      <c r="B907" s="50" t="s">
        <v>3349</v>
      </c>
      <c r="C907" s="50" t="s">
        <v>95</v>
      </c>
      <c r="D907" s="50" t="n">
        <v>2</v>
      </c>
      <c r="E907" s="50" t="s">
        <v>96</v>
      </c>
      <c r="F907" s="50" t="s">
        <v>3350</v>
      </c>
      <c r="G907" s="52" t="s">
        <v>3351</v>
      </c>
      <c r="H907" s="50" t="n">
        <v>0</v>
      </c>
      <c r="I907" s="50"/>
      <c r="K907" s="50"/>
    </row>
    <row r="908" customFormat="false" ht="15" hidden="false" customHeight="false" outlineLevel="0" collapsed="false">
      <c r="A908" s="50" t="s">
        <v>3352</v>
      </c>
      <c r="B908" s="50" t="s">
        <v>3353</v>
      </c>
      <c r="C908" s="50" t="s">
        <v>95</v>
      </c>
      <c r="D908" s="50" t="n">
        <v>2</v>
      </c>
      <c r="E908" s="50" t="s">
        <v>96</v>
      </c>
      <c r="F908" s="50" t="s">
        <v>3354</v>
      </c>
      <c r="G908" s="52" t="s">
        <v>3355</v>
      </c>
      <c r="H908" s="50" t="n">
        <v>0</v>
      </c>
      <c r="I908" s="50"/>
      <c r="K908" s="50"/>
    </row>
    <row r="909" customFormat="false" ht="15" hidden="false" customHeight="false" outlineLevel="0" collapsed="false">
      <c r="A909" s="50" t="s">
        <v>3356</v>
      </c>
      <c r="B909" s="50" t="s">
        <v>3357</v>
      </c>
      <c r="C909" s="50" t="s">
        <v>95</v>
      </c>
      <c r="D909" s="50" t="n">
        <v>2</v>
      </c>
      <c r="E909" s="50" t="s">
        <v>96</v>
      </c>
      <c r="F909" s="50" t="s">
        <v>3358</v>
      </c>
      <c r="G909" s="52" t="s">
        <v>2316</v>
      </c>
      <c r="H909" s="50" t="n">
        <v>0</v>
      </c>
      <c r="I909" s="50"/>
      <c r="K909" s="50"/>
    </row>
    <row r="910" customFormat="false" ht="15" hidden="false" customHeight="false" outlineLevel="0" collapsed="false">
      <c r="A910" s="50" t="s">
        <v>3359</v>
      </c>
      <c r="B910" s="50" t="s">
        <v>3360</v>
      </c>
      <c r="C910" s="50" t="s">
        <v>95</v>
      </c>
      <c r="D910" s="50" t="n">
        <v>2</v>
      </c>
      <c r="E910" s="50" t="s">
        <v>96</v>
      </c>
      <c r="F910" s="50" t="s">
        <v>3361</v>
      </c>
      <c r="G910" s="52" t="s">
        <v>3362</v>
      </c>
      <c r="H910" s="50" t="n">
        <v>0</v>
      </c>
      <c r="I910" s="50"/>
      <c r="K910" s="50"/>
    </row>
    <row r="911" customFormat="false" ht="15" hidden="false" customHeight="false" outlineLevel="0" collapsed="false">
      <c r="A911" s="50" t="s">
        <v>3363</v>
      </c>
      <c r="B911" s="50" t="s">
        <v>3364</v>
      </c>
      <c r="C911" s="50" t="s">
        <v>95</v>
      </c>
      <c r="D911" s="50" t="n">
        <v>2</v>
      </c>
      <c r="E911" s="50" t="s">
        <v>96</v>
      </c>
      <c r="F911" s="50" t="s">
        <v>3365</v>
      </c>
      <c r="G911" s="52" t="s">
        <v>2807</v>
      </c>
      <c r="H911" s="50" t="n">
        <v>0</v>
      </c>
      <c r="I911" s="50"/>
      <c r="K911" s="50"/>
    </row>
    <row r="912" customFormat="false" ht="15" hidden="false" customHeight="false" outlineLevel="0" collapsed="false">
      <c r="A912" s="50" t="s">
        <v>3366</v>
      </c>
      <c r="B912" s="50" t="s">
        <v>3367</v>
      </c>
      <c r="C912" s="50" t="s">
        <v>95</v>
      </c>
      <c r="D912" s="50" t="n">
        <v>2</v>
      </c>
      <c r="E912" s="50" t="s">
        <v>96</v>
      </c>
      <c r="F912" s="50" t="s">
        <v>3368</v>
      </c>
      <c r="G912" s="52" t="s">
        <v>3369</v>
      </c>
      <c r="H912" s="50" t="n">
        <v>0</v>
      </c>
      <c r="I912" s="50"/>
      <c r="K912" s="50"/>
    </row>
    <row r="913" customFormat="false" ht="15" hidden="false" customHeight="false" outlineLevel="0" collapsed="false">
      <c r="A913" s="50" t="s">
        <v>3370</v>
      </c>
      <c r="B913" s="50" t="s">
        <v>3371</v>
      </c>
      <c r="C913" s="50" t="s">
        <v>95</v>
      </c>
      <c r="D913" s="50" t="n">
        <v>2</v>
      </c>
      <c r="E913" s="50" t="s">
        <v>96</v>
      </c>
      <c r="F913" s="50" t="s">
        <v>3372</v>
      </c>
      <c r="G913" s="52" t="s">
        <v>3373</v>
      </c>
      <c r="H913" s="50" t="n">
        <v>0</v>
      </c>
      <c r="I913" s="50"/>
      <c r="K913" s="50"/>
    </row>
    <row r="914" customFormat="false" ht="15" hidden="false" customHeight="false" outlineLevel="0" collapsed="false">
      <c r="A914" s="50" t="s">
        <v>3374</v>
      </c>
      <c r="B914" s="50" t="s">
        <v>3375</v>
      </c>
      <c r="C914" s="50" t="s">
        <v>95</v>
      </c>
      <c r="D914" s="50" t="n">
        <v>2</v>
      </c>
      <c r="E914" s="50" t="s">
        <v>96</v>
      </c>
      <c r="F914" s="50" t="s">
        <v>3376</v>
      </c>
      <c r="G914" s="52" t="s">
        <v>3377</v>
      </c>
      <c r="H914" s="50" t="n">
        <v>0</v>
      </c>
      <c r="I914" s="50"/>
      <c r="K914" s="50"/>
    </row>
    <row r="915" customFormat="false" ht="15" hidden="false" customHeight="false" outlineLevel="0" collapsed="false">
      <c r="A915" s="50" t="s">
        <v>3378</v>
      </c>
      <c r="B915" s="50" t="s">
        <v>3379</v>
      </c>
      <c r="C915" s="50" t="s">
        <v>95</v>
      </c>
      <c r="D915" s="50" t="n">
        <v>2</v>
      </c>
      <c r="E915" s="50" t="s">
        <v>96</v>
      </c>
      <c r="F915" s="50" t="s">
        <v>3380</v>
      </c>
      <c r="G915" s="52" t="s">
        <v>3381</v>
      </c>
      <c r="H915" s="50" t="n">
        <v>0</v>
      </c>
      <c r="I915" s="50"/>
      <c r="K915" s="50"/>
    </row>
    <row r="916" customFormat="false" ht="25.5" hidden="false" customHeight="false" outlineLevel="0" collapsed="false">
      <c r="A916" s="50" t="s">
        <v>3382</v>
      </c>
      <c r="B916" s="50" t="s">
        <v>3383</v>
      </c>
      <c r="C916" s="50" t="s">
        <v>95</v>
      </c>
      <c r="D916" s="50" t="n">
        <v>2</v>
      </c>
      <c r="E916" s="50" t="s">
        <v>96</v>
      </c>
      <c r="F916" s="50" t="s">
        <v>3384</v>
      </c>
      <c r="G916" s="52" t="s">
        <v>3385</v>
      </c>
      <c r="H916" s="50" t="n">
        <v>1</v>
      </c>
      <c r="I916" s="50"/>
      <c r="K916" s="50"/>
    </row>
    <row r="917" customFormat="false" ht="15" hidden="false" customHeight="false" outlineLevel="0" collapsed="false">
      <c r="A917" s="50" t="s">
        <v>3386</v>
      </c>
      <c r="B917" s="50" t="s">
        <v>3387</v>
      </c>
      <c r="C917" s="50" t="s">
        <v>95</v>
      </c>
      <c r="D917" s="50" t="n">
        <v>20</v>
      </c>
      <c r="E917" s="50" t="s">
        <v>113</v>
      </c>
      <c r="F917" s="50" t="s">
        <v>3388</v>
      </c>
      <c r="G917" s="52" t="s">
        <v>3389</v>
      </c>
      <c r="H917" s="50" t="n">
        <v>0</v>
      </c>
      <c r="I917" s="50"/>
      <c r="K917" s="50"/>
    </row>
    <row r="918" customFormat="false" ht="15" hidden="false" customHeight="false" outlineLevel="0" collapsed="false">
      <c r="A918" s="50" t="s">
        <v>3390</v>
      </c>
      <c r="B918" s="50" t="s">
        <v>3391</v>
      </c>
      <c r="C918" s="50" t="s">
        <v>95</v>
      </c>
      <c r="D918" s="50" t="n">
        <v>20</v>
      </c>
      <c r="E918" s="50" t="s">
        <v>113</v>
      </c>
      <c r="F918" s="50" t="s">
        <v>3392</v>
      </c>
      <c r="G918" s="52" t="s">
        <v>3393</v>
      </c>
      <c r="H918" s="50" t="n">
        <v>0</v>
      </c>
      <c r="I918" s="50"/>
      <c r="K918" s="50"/>
    </row>
    <row r="919" customFormat="false" ht="15" hidden="false" customHeight="false" outlineLevel="0" collapsed="false">
      <c r="A919" s="50" t="s">
        <v>3394</v>
      </c>
      <c r="B919" s="50" t="s">
        <v>3395</v>
      </c>
      <c r="C919" s="50" t="s">
        <v>95</v>
      </c>
      <c r="D919" s="50" t="n">
        <v>2</v>
      </c>
      <c r="E919" s="50" t="s">
        <v>96</v>
      </c>
      <c r="F919" s="50" t="s">
        <v>3396</v>
      </c>
      <c r="G919" s="52" t="s">
        <v>3397</v>
      </c>
      <c r="H919" s="50" t="n">
        <v>0</v>
      </c>
      <c r="I919" s="50"/>
      <c r="K919" s="50"/>
    </row>
    <row r="920" customFormat="false" ht="15" hidden="false" customHeight="false" outlineLevel="0" collapsed="false">
      <c r="A920" s="50" t="s">
        <v>3398</v>
      </c>
      <c r="B920" s="50" t="s">
        <v>3399</v>
      </c>
      <c r="C920" s="50" t="s">
        <v>95</v>
      </c>
      <c r="D920" s="50" t="n">
        <v>2</v>
      </c>
      <c r="E920" s="50" t="s">
        <v>96</v>
      </c>
      <c r="F920" s="50" t="s">
        <v>3400</v>
      </c>
      <c r="G920" s="52" t="s">
        <v>3401</v>
      </c>
      <c r="H920" s="50" t="n">
        <v>0</v>
      </c>
      <c r="I920" s="50"/>
      <c r="K920" s="50"/>
    </row>
    <row r="921" customFormat="false" ht="15" hidden="false" customHeight="false" outlineLevel="0" collapsed="false">
      <c r="A921" s="50" t="s">
        <v>3402</v>
      </c>
      <c r="B921" s="50" t="s">
        <v>3403</v>
      </c>
      <c r="C921" s="50" t="s">
        <v>95</v>
      </c>
      <c r="D921" s="50" t="n">
        <v>2</v>
      </c>
      <c r="E921" s="50" t="s">
        <v>96</v>
      </c>
      <c r="F921" s="50" t="s">
        <v>3404</v>
      </c>
      <c r="G921" s="52" t="s">
        <v>3405</v>
      </c>
      <c r="H921" s="50" t="n">
        <v>0</v>
      </c>
      <c r="I921" s="50"/>
      <c r="K921" s="50"/>
    </row>
    <row r="922" customFormat="false" ht="15" hidden="false" customHeight="false" outlineLevel="0" collapsed="false">
      <c r="A922" s="50" t="s">
        <v>3406</v>
      </c>
      <c r="B922" s="50" t="s">
        <v>3407</v>
      </c>
      <c r="C922" s="50" t="s">
        <v>95</v>
      </c>
      <c r="D922" s="50" t="n">
        <v>2</v>
      </c>
      <c r="E922" s="50" t="s">
        <v>96</v>
      </c>
      <c r="F922" s="50" t="s">
        <v>3408</v>
      </c>
      <c r="G922" s="52" t="s">
        <v>3409</v>
      </c>
      <c r="H922" s="50" t="n">
        <v>0</v>
      </c>
      <c r="I922" s="50"/>
      <c r="K922" s="50"/>
    </row>
    <row r="923" customFormat="false" ht="15" hidden="false" customHeight="false" outlineLevel="0" collapsed="false">
      <c r="A923" s="50" t="s">
        <v>3410</v>
      </c>
      <c r="B923" s="50" t="s">
        <v>3411</v>
      </c>
      <c r="C923" s="50" t="s">
        <v>95</v>
      </c>
      <c r="D923" s="50" t="n">
        <v>2</v>
      </c>
      <c r="E923" s="50" t="s">
        <v>96</v>
      </c>
      <c r="F923" s="50" t="s">
        <v>3412</v>
      </c>
      <c r="G923" s="52" t="s">
        <v>3413</v>
      </c>
      <c r="H923" s="50" t="n">
        <v>0</v>
      </c>
      <c r="I923" s="50"/>
      <c r="K923" s="50"/>
    </row>
    <row r="924" customFormat="false" ht="15" hidden="false" customHeight="false" outlineLevel="0" collapsed="false">
      <c r="A924" s="50" t="s">
        <v>3414</v>
      </c>
      <c r="B924" s="50" t="s">
        <v>3415</v>
      </c>
      <c r="C924" s="50" t="s">
        <v>95</v>
      </c>
      <c r="D924" s="50" t="n">
        <v>2</v>
      </c>
      <c r="E924" s="50" t="s">
        <v>96</v>
      </c>
      <c r="F924" s="50" t="s">
        <v>3416</v>
      </c>
      <c r="G924" s="52" t="s">
        <v>3417</v>
      </c>
      <c r="H924" s="50" t="n">
        <v>0</v>
      </c>
      <c r="I924" s="50"/>
      <c r="K924" s="50"/>
    </row>
    <row r="925" customFormat="false" ht="15" hidden="false" customHeight="false" outlineLevel="0" collapsed="false">
      <c r="A925" s="50" t="s">
        <v>3418</v>
      </c>
      <c r="B925" s="50" t="s">
        <v>3419</v>
      </c>
      <c r="C925" s="50" t="s">
        <v>95</v>
      </c>
      <c r="D925" s="50" t="n">
        <v>2</v>
      </c>
      <c r="E925" s="50" t="s">
        <v>96</v>
      </c>
      <c r="F925" s="50" t="s">
        <v>3420</v>
      </c>
      <c r="G925" s="52" t="s">
        <v>3385</v>
      </c>
      <c r="H925" s="50" t="n">
        <v>1</v>
      </c>
      <c r="I925" s="50"/>
      <c r="K925" s="50"/>
    </row>
    <row r="926" customFormat="false" ht="15" hidden="false" customHeight="false" outlineLevel="0" collapsed="false">
      <c r="A926" s="50" t="s">
        <v>3421</v>
      </c>
      <c r="B926" s="50" t="s">
        <v>3422</v>
      </c>
      <c r="C926" s="50" t="s">
        <v>95</v>
      </c>
      <c r="D926" s="50" t="n">
        <v>2</v>
      </c>
      <c r="E926" s="50" t="s">
        <v>96</v>
      </c>
      <c r="F926" s="50" t="s">
        <v>3423</v>
      </c>
      <c r="G926" s="52" t="s">
        <v>3385</v>
      </c>
      <c r="H926" s="50" t="n">
        <v>1</v>
      </c>
      <c r="I926" s="50"/>
      <c r="K926" s="50"/>
    </row>
    <row r="927" customFormat="false" ht="15" hidden="false" customHeight="false" outlineLevel="0" collapsed="false">
      <c r="A927" s="50" t="s">
        <v>3424</v>
      </c>
      <c r="B927" s="50" t="s">
        <v>3425</v>
      </c>
      <c r="C927" s="50" t="s">
        <v>95</v>
      </c>
      <c r="D927" s="50" t="n">
        <v>2</v>
      </c>
      <c r="E927" s="50" t="s">
        <v>96</v>
      </c>
      <c r="F927" s="50" t="s">
        <v>3426</v>
      </c>
      <c r="G927" s="52" t="s">
        <v>3427</v>
      </c>
      <c r="H927" s="50" t="n">
        <v>0</v>
      </c>
      <c r="I927" s="50"/>
      <c r="K927" s="50"/>
    </row>
    <row r="928" customFormat="false" ht="15" hidden="false" customHeight="false" outlineLevel="0" collapsed="false">
      <c r="A928" s="50" t="s">
        <v>3428</v>
      </c>
      <c r="B928" s="50" t="s">
        <v>3429</v>
      </c>
      <c r="C928" s="50" t="s">
        <v>95</v>
      </c>
      <c r="D928" s="50" t="n">
        <v>20</v>
      </c>
      <c r="E928" s="50" t="s">
        <v>113</v>
      </c>
      <c r="F928" s="50" t="s">
        <v>3430</v>
      </c>
      <c r="G928" s="52" t="s">
        <v>3431</v>
      </c>
      <c r="H928" s="50" t="n">
        <v>0</v>
      </c>
      <c r="I928" s="50"/>
      <c r="K928" s="50"/>
    </row>
    <row r="929" customFormat="false" ht="15" hidden="false" customHeight="false" outlineLevel="0" collapsed="false">
      <c r="A929" s="50" t="s">
        <v>3432</v>
      </c>
      <c r="B929" s="50" t="s">
        <v>3433</v>
      </c>
      <c r="C929" s="50" t="s">
        <v>95</v>
      </c>
      <c r="D929" s="50" t="n">
        <v>2</v>
      </c>
      <c r="E929" s="50" t="s">
        <v>96</v>
      </c>
      <c r="F929" s="50" t="s">
        <v>3434</v>
      </c>
      <c r="G929" s="52" t="s">
        <v>3435</v>
      </c>
      <c r="H929" s="50" t="n">
        <v>0</v>
      </c>
      <c r="I929" s="50"/>
      <c r="K929" s="50"/>
    </row>
    <row r="930" customFormat="false" ht="15" hidden="false" customHeight="false" outlineLevel="0" collapsed="false">
      <c r="A930" s="50" t="s">
        <v>3436</v>
      </c>
      <c r="B930" s="50" t="s">
        <v>3437</v>
      </c>
      <c r="C930" s="50" t="s">
        <v>95</v>
      </c>
      <c r="D930" s="50" t="n">
        <v>2</v>
      </c>
      <c r="E930" s="50" t="s">
        <v>96</v>
      </c>
      <c r="F930" s="50" t="s">
        <v>3438</v>
      </c>
      <c r="G930" s="52" t="s">
        <v>3439</v>
      </c>
      <c r="H930" s="50" t="n">
        <v>0</v>
      </c>
      <c r="I930" s="50"/>
      <c r="K930" s="50"/>
    </row>
    <row r="931" customFormat="false" ht="15" hidden="false" customHeight="false" outlineLevel="0" collapsed="false">
      <c r="A931" s="50" t="s">
        <v>3440</v>
      </c>
      <c r="B931" s="50" t="s">
        <v>3441</v>
      </c>
      <c r="C931" s="50" t="s">
        <v>95</v>
      </c>
      <c r="D931" s="50" t="n">
        <v>2</v>
      </c>
      <c r="E931" s="50" t="s">
        <v>96</v>
      </c>
      <c r="F931" s="50" t="s">
        <v>3442</v>
      </c>
      <c r="G931" s="52" t="s">
        <v>3443</v>
      </c>
      <c r="H931" s="50" t="n">
        <v>0</v>
      </c>
      <c r="I931" s="50"/>
      <c r="K931" s="50"/>
    </row>
    <row r="932" customFormat="false" ht="15" hidden="false" customHeight="false" outlineLevel="0" collapsed="false">
      <c r="A932" s="50" t="s">
        <v>3444</v>
      </c>
      <c r="B932" s="50" t="s">
        <v>3445</v>
      </c>
      <c r="C932" s="50" t="s">
        <v>95</v>
      </c>
      <c r="D932" s="50" t="n">
        <v>2</v>
      </c>
      <c r="E932" s="50" t="s">
        <v>96</v>
      </c>
      <c r="F932" s="50" t="s">
        <v>3446</v>
      </c>
      <c r="G932" s="52" t="s">
        <v>3447</v>
      </c>
      <c r="H932" s="50" t="n">
        <v>0</v>
      </c>
      <c r="I932" s="50"/>
      <c r="K932" s="50"/>
    </row>
    <row r="933" customFormat="false" ht="25.5" hidden="false" customHeight="false" outlineLevel="0" collapsed="false">
      <c r="A933" s="50" t="s">
        <v>3448</v>
      </c>
      <c r="B933" s="50" t="s">
        <v>3449</v>
      </c>
      <c r="C933" s="50" t="s">
        <v>95</v>
      </c>
      <c r="D933" s="50" t="n">
        <v>2</v>
      </c>
      <c r="E933" s="50" t="s">
        <v>96</v>
      </c>
      <c r="F933" s="50" t="s">
        <v>3450</v>
      </c>
      <c r="G933" s="52" t="s">
        <v>3451</v>
      </c>
      <c r="H933" s="50" t="n">
        <v>0</v>
      </c>
      <c r="I933" s="50"/>
      <c r="K933" s="50"/>
    </row>
    <row r="934" customFormat="false" ht="15" hidden="false" customHeight="false" outlineLevel="0" collapsed="false">
      <c r="A934" s="50" t="s">
        <v>3452</v>
      </c>
      <c r="B934" s="50" t="s">
        <v>3453</v>
      </c>
      <c r="C934" s="50" t="s">
        <v>95</v>
      </c>
      <c r="D934" s="50" t="n">
        <v>20</v>
      </c>
      <c r="E934" s="50" t="s">
        <v>113</v>
      </c>
      <c r="F934" s="50" t="s">
        <v>3454</v>
      </c>
      <c r="G934" s="52" t="s">
        <v>3455</v>
      </c>
      <c r="H934" s="50" t="n">
        <v>0</v>
      </c>
      <c r="I934" s="50"/>
      <c r="K934" s="50"/>
    </row>
    <row r="935" customFormat="false" ht="15" hidden="false" customHeight="false" outlineLevel="0" collapsed="false">
      <c r="A935" s="50" t="s">
        <v>3456</v>
      </c>
      <c r="B935" s="50" t="s">
        <v>3457</v>
      </c>
      <c r="C935" s="50" t="s">
        <v>95</v>
      </c>
      <c r="D935" s="50" t="n">
        <v>2</v>
      </c>
      <c r="E935" s="50" t="s">
        <v>96</v>
      </c>
      <c r="F935" s="50" t="s">
        <v>3458</v>
      </c>
      <c r="G935" s="52" t="s">
        <v>3459</v>
      </c>
      <c r="H935" s="50" t="n">
        <v>0</v>
      </c>
      <c r="I935" s="50"/>
      <c r="K935" s="50"/>
    </row>
    <row r="936" customFormat="false" ht="15" hidden="false" customHeight="false" outlineLevel="0" collapsed="false">
      <c r="A936" s="50" t="s">
        <v>3460</v>
      </c>
      <c r="B936" s="50" t="s">
        <v>3461</v>
      </c>
      <c r="C936" s="50" t="s">
        <v>95</v>
      </c>
      <c r="D936" s="50" t="n">
        <v>2</v>
      </c>
      <c r="E936" s="50" t="s">
        <v>96</v>
      </c>
      <c r="F936" s="50" t="s">
        <v>3462</v>
      </c>
      <c r="G936" s="52" t="s">
        <v>1435</v>
      </c>
      <c r="H936" s="50" t="n">
        <v>0</v>
      </c>
      <c r="I936" s="50"/>
      <c r="K936" s="50"/>
    </row>
    <row r="937" customFormat="false" ht="15" hidden="false" customHeight="false" outlineLevel="0" collapsed="false">
      <c r="A937" s="50" t="s">
        <v>3463</v>
      </c>
      <c r="B937" s="50" t="s">
        <v>3464</v>
      </c>
      <c r="C937" s="50" t="s">
        <v>95</v>
      </c>
      <c r="D937" s="50" t="n">
        <v>2</v>
      </c>
      <c r="E937" s="50" t="s">
        <v>96</v>
      </c>
      <c r="F937" s="50" t="s">
        <v>3465</v>
      </c>
      <c r="G937" s="52" t="s">
        <v>925</v>
      </c>
      <c r="H937" s="50" t="n">
        <v>0</v>
      </c>
      <c r="I937" s="50"/>
      <c r="K937" s="50"/>
    </row>
    <row r="938" customFormat="false" ht="15" hidden="false" customHeight="false" outlineLevel="0" collapsed="false">
      <c r="A938" s="50" t="s">
        <v>3466</v>
      </c>
      <c r="B938" s="50" t="s">
        <v>3467</v>
      </c>
      <c r="C938" s="50" t="s">
        <v>95</v>
      </c>
      <c r="D938" s="50" t="n">
        <v>2</v>
      </c>
      <c r="E938" s="50" t="s">
        <v>96</v>
      </c>
      <c r="F938" s="50" t="s">
        <v>3468</v>
      </c>
      <c r="G938" s="52" t="s">
        <v>3469</v>
      </c>
      <c r="H938" s="50" t="n">
        <v>0</v>
      </c>
      <c r="I938" s="50"/>
      <c r="K938" s="50"/>
    </row>
    <row r="939" customFormat="false" ht="15" hidden="false" customHeight="false" outlineLevel="0" collapsed="false">
      <c r="A939" s="50" t="s">
        <v>3470</v>
      </c>
      <c r="B939" s="50" t="s">
        <v>3471</v>
      </c>
      <c r="C939" s="50" t="s">
        <v>95</v>
      </c>
      <c r="D939" s="50" t="n">
        <v>2</v>
      </c>
      <c r="E939" s="50" t="s">
        <v>96</v>
      </c>
      <c r="F939" s="50" t="s">
        <v>3472</v>
      </c>
      <c r="G939" s="52" t="s">
        <v>3473</v>
      </c>
      <c r="H939" s="50" t="n">
        <v>0</v>
      </c>
      <c r="I939" s="50"/>
      <c r="K939" s="50"/>
    </row>
    <row r="940" customFormat="false" ht="15" hidden="false" customHeight="false" outlineLevel="0" collapsed="false">
      <c r="A940" s="50" t="s">
        <v>3474</v>
      </c>
      <c r="B940" s="50" t="s">
        <v>3475</v>
      </c>
      <c r="C940" s="50" t="s">
        <v>95</v>
      </c>
      <c r="D940" s="50" t="n">
        <v>2</v>
      </c>
      <c r="E940" s="50" t="s">
        <v>96</v>
      </c>
      <c r="F940" s="50" t="s">
        <v>3476</v>
      </c>
      <c r="G940" s="52" t="s">
        <v>622</v>
      </c>
      <c r="H940" s="50" t="n">
        <v>0</v>
      </c>
      <c r="I940" s="50"/>
      <c r="K940" s="50"/>
    </row>
    <row r="941" customFormat="false" ht="15" hidden="false" customHeight="false" outlineLevel="0" collapsed="false">
      <c r="A941" s="50" t="s">
        <v>3477</v>
      </c>
      <c r="B941" s="50" t="s">
        <v>3478</v>
      </c>
      <c r="C941" s="50" t="s">
        <v>95</v>
      </c>
      <c r="D941" s="50" t="n">
        <v>2</v>
      </c>
      <c r="E941" s="50" t="s">
        <v>96</v>
      </c>
      <c r="F941" s="50" t="s">
        <v>3479</v>
      </c>
      <c r="G941" s="52" t="s">
        <v>1004</v>
      </c>
      <c r="H941" s="50" t="n">
        <v>0</v>
      </c>
      <c r="I941" s="50"/>
      <c r="K941" s="50"/>
    </row>
    <row r="942" customFormat="false" ht="15" hidden="false" customHeight="false" outlineLevel="0" collapsed="false">
      <c r="A942" s="50" t="s">
        <v>3480</v>
      </c>
      <c r="B942" s="50" t="s">
        <v>3481</v>
      </c>
      <c r="C942" s="50" t="s">
        <v>95</v>
      </c>
      <c r="D942" s="50" t="n">
        <v>2</v>
      </c>
      <c r="E942" s="50" t="s">
        <v>96</v>
      </c>
      <c r="F942" s="50" t="s">
        <v>3482</v>
      </c>
      <c r="G942" s="52" t="s">
        <v>3483</v>
      </c>
      <c r="H942" s="50" t="n">
        <v>0</v>
      </c>
      <c r="I942" s="50"/>
      <c r="K942" s="50"/>
    </row>
    <row r="943" customFormat="false" ht="15" hidden="false" customHeight="false" outlineLevel="0" collapsed="false">
      <c r="A943" s="50" t="s">
        <v>3484</v>
      </c>
      <c r="B943" s="50" t="s">
        <v>3485</v>
      </c>
      <c r="C943" s="50" t="s">
        <v>95</v>
      </c>
      <c r="D943" s="50" t="n">
        <v>2</v>
      </c>
      <c r="E943" s="50" t="s">
        <v>96</v>
      </c>
      <c r="F943" s="50" t="s">
        <v>3486</v>
      </c>
      <c r="G943" s="52" t="s">
        <v>3487</v>
      </c>
      <c r="H943" s="50" t="n">
        <v>0</v>
      </c>
      <c r="I943" s="50"/>
      <c r="K943" s="50"/>
    </row>
    <row r="944" customFormat="false" ht="15" hidden="false" customHeight="false" outlineLevel="0" collapsed="false">
      <c r="A944" s="50" t="s">
        <v>3488</v>
      </c>
      <c r="B944" s="50" t="s">
        <v>3489</v>
      </c>
      <c r="C944" s="50" t="s">
        <v>95</v>
      </c>
      <c r="D944" s="50" t="n">
        <v>2</v>
      </c>
      <c r="E944" s="50" t="s">
        <v>96</v>
      </c>
      <c r="F944" s="50" t="s">
        <v>3490</v>
      </c>
      <c r="G944" s="52" t="s">
        <v>3491</v>
      </c>
      <c r="H944" s="50" t="n">
        <v>0</v>
      </c>
      <c r="I944" s="50"/>
      <c r="K944" s="50"/>
    </row>
    <row r="945" customFormat="false" ht="15" hidden="false" customHeight="false" outlineLevel="0" collapsed="false">
      <c r="A945" s="50" t="s">
        <v>3492</v>
      </c>
      <c r="B945" s="50" t="s">
        <v>3493</v>
      </c>
      <c r="C945" s="50" t="s">
        <v>95</v>
      </c>
      <c r="D945" s="50" t="n">
        <v>2</v>
      </c>
      <c r="E945" s="50" t="s">
        <v>96</v>
      </c>
      <c r="F945" s="50" t="s">
        <v>3494</v>
      </c>
      <c r="G945" s="52" t="s">
        <v>3495</v>
      </c>
      <c r="H945" s="50" t="n">
        <v>0</v>
      </c>
      <c r="I945" s="50"/>
      <c r="K945" s="50"/>
    </row>
    <row r="946" customFormat="false" ht="15" hidden="false" customHeight="false" outlineLevel="0" collapsed="false">
      <c r="A946" s="50" t="s">
        <v>3496</v>
      </c>
      <c r="B946" s="50" t="s">
        <v>3497</v>
      </c>
      <c r="C946" s="50" t="s">
        <v>95</v>
      </c>
      <c r="D946" s="50" t="n">
        <v>2</v>
      </c>
      <c r="E946" s="50" t="s">
        <v>96</v>
      </c>
      <c r="F946" s="50" t="s">
        <v>3498</v>
      </c>
      <c r="G946" s="52" t="s">
        <v>3499</v>
      </c>
      <c r="H946" s="50" t="n">
        <v>1</v>
      </c>
      <c r="I946" s="50"/>
      <c r="K946" s="50"/>
    </row>
    <row r="947" customFormat="false" ht="15" hidden="false" customHeight="false" outlineLevel="0" collapsed="false">
      <c r="A947" s="50" t="s">
        <v>3500</v>
      </c>
      <c r="B947" s="50" t="s">
        <v>3501</v>
      </c>
      <c r="C947" s="50" t="s">
        <v>95</v>
      </c>
      <c r="D947" s="50" t="n">
        <v>2</v>
      </c>
      <c r="E947" s="50" t="s">
        <v>96</v>
      </c>
      <c r="F947" s="50" t="s">
        <v>3502</v>
      </c>
      <c r="G947" s="52" t="s">
        <v>3503</v>
      </c>
      <c r="H947" s="50" t="n">
        <v>1</v>
      </c>
      <c r="I947" s="50"/>
      <c r="K947" s="50"/>
    </row>
    <row r="948" customFormat="false" ht="15" hidden="false" customHeight="false" outlineLevel="0" collapsed="false">
      <c r="A948" s="50" t="s">
        <v>3504</v>
      </c>
      <c r="B948" s="50" t="s">
        <v>3505</v>
      </c>
      <c r="C948" s="50" t="s">
        <v>95</v>
      </c>
      <c r="D948" s="50" t="n">
        <v>2</v>
      </c>
      <c r="E948" s="50" t="s">
        <v>96</v>
      </c>
      <c r="F948" s="50" t="s">
        <v>3506</v>
      </c>
      <c r="G948" s="52" t="s">
        <v>3507</v>
      </c>
      <c r="H948" s="50" t="n">
        <v>1</v>
      </c>
      <c r="I948" s="50"/>
      <c r="K948" s="50"/>
    </row>
    <row r="949" customFormat="false" ht="15" hidden="false" customHeight="false" outlineLevel="0" collapsed="false">
      <c r="A949" s="50" t="s">
        <v>3508</v>
      </c>
      <c r="B949" s="50" t="s">
        <v>3509</v>
      </c>
      <c r="C949" s="50" t="s">
        <v>95</v>
      </c>
      <c r="D949" s="50" t="n">
        <v>2</v>
      </c>
      <c r="E949" s="50" t="s">
        <v>96</v>
      </c>
      <c r="F949" s="50" t="s">
        <v>3510</v>
      </c>
      <c r="G949" s="52" t="s">
        <v>3511</v>
      </c>
      <c r="H949" s="50" t="n">
        <v>0</v>
      </c>
      <c r="I949" s="50"/>
      <c r="K949" s="50"/>
    </row>
    <row r="950" customFormat="false" ht="15" hidden="false" customHeight="false" outlineLevel="0" collapsed="false">
      <c r="A950" s="50" t="s">
        <v>3512</v>
      </c>
      <c r="B950" s="50" t="s">
        <v>3513</v>
      </c>
      <c r="C950" s="50" t="s">
        <v>95</v>
      </c>
      <c r="D950" s="50" t="n">
        <v>2</v>
      </c>
      <c r="E950" s="50" t="s">
        <v>96</v>
      </c>
      <c r="F950" s="50" t="s">
        <v>3514</v>
      </c>
      <c r="G950" s="52" t="s">
        <v>3515</v>
      </c>
      <c r="H950" s="50" t="n">
        <v>0</v>
      </c>
      <c r="I950" s="50"/>
      <c r="K950" s="50"/>
    </row>
    <row r="951" customFormat="false" ht="15" hidden="false" customHeight="false" outlineLevel="0" collapsed="false">
      <c r="A951" s="50" t="s">
        <v>3516</v>
      </c>
      <c r="B951" s="50" t="s">
        <v>3517</v>
      </c>
      <c r="C951" s="50" t="s">
        <v>95</v>
      </c>
      <c r="D951" s="50" t="n">
        <v>2</v>
      </c>
      <c r="E951" s="50" t="s">
        <v>96</v>
      </c>
      <c r="F951" s="50" t="s">
        <v>3518</v>
      </c>
      <c r="G951" s="52" t="s">
        <v>3519</v>
      </c>
      <c r="H951" s="50" t="n">
        <v>0</v>
      </c>
      <c r="I951" s="50"/>
      <c r="K951" s="50"/>
    </row>
    <row r="952" customFormat="false" ht="15" hidden="false" customHeight="false" outlineLevel="0" collapsed="false">
      <c r="A952" s="50" t="s">
        <v>3520</v>
      </c>
      <c r="B952" s="50" t="s">
        <v>3521</v>
      </c>
      <c r="C952" s="50" t="s">
        <v>95</v>
      </c>
      <c r="D952" s="50" t="n">
        <v>2</v>
      </c>
      <c r="E952" s="50" t="s">
        <v>96</v>
      </c>
      <c r="F952" s="50" t="s">
        <v>3522</v>
      </c>
      <c r="G952" s="52" t="s">
        <v>3523</v>
      </c>
      <c r="H952" s="50" t="n">
        <v>0</v>
      </c>
      <c r="I952" s="50"/>
      <c r="K952" s="50"/>
    </row>
    <row r="953" customFormat="false" ht="15" hidden="false" customHeight="false" outlineLevel="0" collapsed="false">
      <c r="A953" s="50" t="s">
        <v>3524</v>
      </c>
      <c r="B953" s="50" t="s">
        <v>3525</v>
      </c>
      <c r="C953" s="50" t="s">
        <v>95</v>
      </c>
      <c r="D953" s="50" t="n">
        <v>2</v>
      </c>
      <c r="E953" s="50" t="s">
        <v>96</v>
      </c>
      <c r="F953" s="50" t="s">
        <v>3526</v>
      </c>
      <c r="G953" s="52" t="s">
        <v>3459</v>
      </c>
      <c r="H953" s="50" t="n">
        <v>0</v>
      </c>
      <c r="I953" s="50"/>
      <c r="K953" s="50"/>
    </row>
    <row r="954" customFormat="false" ht="15" hidden="false" customHeight="false" outlineLevel="0" collapsed="false">
      <c r="A954" s="50" t="s">
        <v>3527</v>
      </c>
      <c r="B954" s="50" t="s">
        <v>3528</v>
      </c>
      <c r="C954" s="50" t="s">
        <v>95</v>
      </c>
      <c r="D954" s="50" t="n">
        <v>2</v>
      </c>
      <c r="E954" s="50" t="s">
        <v>96</v>
      </c>
      <c r="F954" s="50" t="s">
        <v>3529</v>
      </c>
      <c r="G954" s="52" t="s">
        <v>3523</v>
      </c>
      <c r="H954" s="50" t="n">
        <v>0</v>
      </c>
      <c r="I954" s="50"/>
      <c r="K954" s="50"/>
    </row>
    <row r="955" customFormat="false" ht="15" hidden="false" customHeight="false" outlineLevel="0" collapsed="false">
      <c r="A955" s="50" t="s">
        <v>3530</v>
      </c>
      <c r="B955" s="50" t="s">
        <v>3531</v>
      </c>
      <c r="C955" s="50" t="s">
        <v>95</v>
      </c>
      <c r="D955" s="50" t="n">
        <v>2</v>
      </c>
      <c r="E955" s="50" t="s">
        <v>96</v>
      </c>
      <c r="F955" s="50" t="s">
        <v>3532</v>
      </c>
      <c r="G955" s="52" t="s">
        <v>3523</v>
      </c>
      <c r="H955" s="50" t="n">
        <v>0</v>
      </c>
      <c r="I955" s="50"/>
      <c r="K955" s="50"/>
    </row>
    <row r="956" customFormat="false" ht="15" hidden="false" customHeight="false" outlineLevel="0" collapsed="false">
      <c r="A956" s="50" t="s">
        <v>3533</v>
      </c>
      <c r="B956" s="50" t="s">
        <v>3534</v>
      </c>
      <c r="C956" s="50" t="s">
        <v>95</v>
      </c>
      <c r="D956" s="50" t="n">
        <v>2</v>
      </c>
      <c r="E956" s="50" t="s">
        <v>96</v>
      </c>
      <c r="F956" s="50" t="s">
        <v>3535</v>
      </c>
      <c r="G956" s="52" t="s">
        <v>3536</v>
      </c>
      <c r="H956" s="50" t="n">
        <v>0</v>
      </c>
      <c r="I956" s="50"/>
      <c r="K956" s="50"/>
    </row>
    <row r="957" customFormat="false" ht="15" hidden="false" customHeight="false" outlineLevel="0" collapsed="false">
      <c r="A957" s="50" t="s">
        <v>3537</v>
      </c>
      <c r="B957" s="50" t="s">
        <v>3538</v>
      </c>
      <c r="C957" s="50" t="s">
        <v>95</v>
      </c>
      <c r="D957" s="50" t="n">
        <v>2</v>
      </c>
      <c r="E957" s="50" t="s">
        <v>96</v>
      </c>
      <c r="F957" s="50" t="s">
        <v>3539</v>
      </c>
      <c r="G957" s="52" t="s">
        <v>3540</v>
      </c>
      <c r="H957" s="50" t="n">
        <v>0</v>
      </c>
      <c r="I957" s="50"/>
      <c r="K957" s="50"/>
    </row>
    <row r="958" customFormat="false" ht="15" hidden="false" customHeight="false" outlineLevel="0" collapsed="false">
      <c r="A958" s="50" t="s">
        <v>3541</v>
      </c>
      <c r="B958" s="50" t="s">
        <v>3542</v>
      </c>
      <c r="C958" s="50" t="s">
        <v>95</v>
      </c>
      <c r="D958" s="50" t="n">
        <v>2</v>
      </c>
      <c r="E958" s="50" t="s">
        <v>96</v>
      </c>
      <c r="F958" s="50" t="s">
        <v>3543</v>
      </c>
      <c r="G958" s="52" t="s">
        <v>3544</v>
      </c>
      <c r="H958" s="50" t="n">
        <v>0</v>
      </c>
      <c r="I958" s="50"/>
      <c r="K958" s="50"/>
    </row>
    <row r="959" customFormat="false" ht="15" hidden="false" customHeight="false" outlineLevel="0" collapsed="false">
      <c r="A959" s="50" t="s">
        <v>3545</v>
      </c>
      <c r="B959" s="50" t="s">
        <v>3546</v>
      </c>
      <c r="C959" s="50" t="s">
        <v>95</v>
      </c>
      <c r="D959" s="50" t="n">
        <v>2</v>
      </c>
      <c r="E959" s="50" t="s">
        <v>96</v>
      </c>
      <c r="F959" s="50" t="s">
        <v>3547</v>
      </c>
      <c r="G959" s="52" t="s">
        <v>2001</v>
      </c>
      <c r="H959" s="50" t="n">
        <v>0</v>
      </c>
      <c r="I959" s="50"/>
      <c r="K959" s="50"/>
    </row>
    <row r="960" customFormat="false" ht="15" hidden="false" customHeight="false" outlineLevel="0" collapsed="false">
      <c r="A960" s="50" t="s">
        <v>3548</v>
      </c>
      <c r="B960" s="50" t="s">
        <v>3549</v>
      </c>
      <c r="C960" s="50" t="s">
        <v>95</v>
      </c>
      <c r="D960" s="50" t="n">
        <v>2</v>
      </c>
      <c r="E960" s="50" t="s">
        <v>96</v>
      </c>
      <c r="F960" s="50" t="s">
        <v>3550</v>
      </c>
      <c r="G960" s="52" t="s">
        <v>3551</v>
      </c>
      <c r="H960" s="50" t="n">
        <v>0</v>
      </c>
      <c r="I960" s="50"/>
      <c r="K960" s="50"/>
    </row>
    <row r="961" customFormat="false" ht="15" hidden="false" customHeight="false" outlineLevel="0" collapsed="false">
      <c r="A961" s="50" t="s">
        <v>3552</v>
      </c>
      <c r="B961" s="50" t="s">
        <v>3553</v>
      </c>
      <c r="C961" s="50" t="s">
        <v>95</v>
      </c>
      <c r="D961" s="50" t="n">
        <v>2</v>
      </c>
      <c r="E961" s="50" t="s">
        <v>96</v>
      </c>
      <c r="F961" s="50" t="s">
        <v>3554</v>
      </c>
      <c r="G961" s="52" t="s">
        <v>3555</v>
      </c>
      <c r="H961" s="50" t="n">
        <v>0</v>
      </c>
      <c r="I961" s="50"/>
      <c r="K961" s="50"/>
    </row>
    <row r="962" customFormat="false" ht="15" hidden="false" customHeight="false" outlineLevel="0" collapsed="false">
      <c r="A962" s="50" t="s">
        <v>3556</v>
      </c>
      <c r="B962" s="50" t="s">
        <v>3557</v>
      </c>
      <c r="C962" s="50" t="s">
        <v>95</v>
      </c>
      <c r="D962" s="50" t="n">
        <v>2</v>
      </c>
      <c r="E962" s="50" t="s">
        <v>96</v>
      </c>
      <c r="F962" s="50" t="s">
        <v>3558</v>
      </c>
      <c r="G962" s="52" t="s">
        <v>3559</v>
      </c>
      <c r="H962" s="50" t="n">
        <v>0</v>
      </c>
      <c r="I962" s="50"/>
      <c r="K962" s="50"/>
    </row>
    <row r="963" customFormat="false" ht="15" hidden="false" customHeight="false" outlineLevel="0" collapsed="false">
      <c r="A963" s="50" t="s">
        <v>3560</v>
      </c>
      <c r="B963" s="50" t="s">
        <v>3561</v>
      </c>
      <c r="C963" s="50" t="s">
        <v>95</v>
      </c>
      <c r="D963" s="50" t="n">
        <v>2</v>
      </c>
      <c r="E963" s="50" t="s">
        <v>96</v>
      </c>
      <c r="F963" s="50" t="s">
        <v>3562</v>
      </c>
      <c r="G963" s="52" t="s">
        <v>3563</v>
      </c>
      <c r="H963" s="50" t="n">
        <v>0</v>
      </c>
      <c r="I963" s="50"/>
      <c r="K963" s="50"/>
    </row>
    <row r="964" customFormat="false" ht="15" hidden="false" customHeight="false" outlineLevel="0" collapsed="false">
      <c r="A964" s="50" t="s">
        <v>3564</v>
      </c>
      <c r="B964" s="50" t="s">
        <v>3565</v>
      </c>
      <c r="C964" s="50" t="s">
        <v>95</v>
      </c>
      <c r="D964" s="50" t="n">
        <v>2</v>
      </c>
      <c r="E964" s="50" t="s">
        <v>96</v>
      </c>
      <c r="F964" s="50" t="s">
        <v>3566</v>
      </c>
      <c r="G964" s="52" t="s">
        <v>3567</v>
      </c>
      <c r="H964" s="50" t="n">
        <v>0</v>
      </c>
      <c r="I964" s="50"/>
      <c r="K964" s="50"/>
    </row>
    <row r="965" customFormat="false" ht="15" hidden="false" customHeight="false" outlineLevel="0" collapsed="false">
      <c r="A965" s="50" t="s">
        <v>3568</v>
      </c>
      <c r="B965" s="50" t="s">
        <v>3569</v>
      </c>
      <c r="C965" s="50" t="s">
        <v>95</v>
      </c>
      <c r="D965" s="50" t="n">
        <v>2</v>
      </c>
      <c r="E965" s="50" t="s">
        <v>96</v>
      </c>
      <c r="F965" s="50" t="s">
        <v>3570</v>
      </c>
      <c r="G965" s="52" t="s">
        <v>3571</v>
      </c>
      <c r="H965" s="50" t="n">
        <v>0</v>
      </c>
      <c r="I965" s="50"/>
      <c r="K965" s="50"/>
    </row>
    <row r="966" customFormat="false" ht="15" hidden="false" customHeight="false" outlineLevel="0" collapsed="false">
      <c r="A966" s="50" t="s">
        <v>3572</v>
      </c>
      <c r="B966" s="50" t="s">
        <v>3573</v>
      </c>
      <c r="C966" s="50" t="s">
        <v>95</v>
      </c>
      <c r="D966" s="50" t="n">
        <v>2</v>
      </c>
      <c r="E966" s="50" t="s">
        <v>96</v>
      </c>
      <c r="F966" s="50" t="s">
        <v>3574</v>
      </c>
      <c r="G966" s="52" t="s">
        <v>3575</v>
      </c>
      <c r="H966" s="50" t="n">
        <v>0</v>
      </c>
      <c r="I966" s="50"/>
      <c r="K966" s="50"/>
    </row>
    <row r="967" customFormat="false" ht="15" hidden="false" customHeight="false" outlineLevel="0" collapsed="false">
      <c r="A967" s="50" t="s">
        <v>3576</v>
      </c>
      <c r="B967" s="50" t="s">
        <v>3577</v>
      </c>
      <c r="C967" s="50" t="s">
        <v>95</v>
      </c>
      <c r="D967" s="50" t="n">
        <v>2</v>
      </c>
      <c r="E967" s="50" t="s">
        <v>96</v>
      </c>
      <c r="F967" s="50" t="s">
        <v>3578</v>
      </c>
      <c r="G967" s="52" t="s">
        <v>3579</v>
      </c>
      <c r="H967" s="50" t="n">
        <v>1</v>
      </c>
      <c r="I967" s="50"/>
      <c r="K967" s="50"/>
    </row>
    <row r="968" customFormat="false" ht="15" hidden="false" customHeight="false" outlineLevel="0" collapsed="false">
      <c r="A968" s="50" t="s">
        <v>3580</v>
      </c>
      <c r="B968" s="50" t="s">
        <v>3581</v>
      </c>
      <c r="C968" s="50" t="s">
        <v>95</v>
      </c>
      <c r="D968" s="50" t="n">
        <v>2</v>
      </c>
      <c r="E968" s="50" t="s">
        <v>96</v>
      </c>
      <c r="F968" s="50" t="s">
        <v>3582</v>
      </c>
      <c r="G968" s="52" t="s">
        <v>3579</v>
      </c>
      <c r="H968" s="50" t="n">
        <v>1</v>
      </c>
      <c r="I968" s="50"/>
      <c r="K968" s="50"/>
    </row>
    <row r="969" customFormat="false" ht="15" hidden="false" customHeight="false" outlineLevel="0" collapsed="false">
      <c r="A969" s="50" t="s">
        <v>3583</v>
      </c>
      <c r="B969" s="50" t="s">
        <v>3584</v>
      </c>
      <c r="C969" s="50" t="s">
        <v>95</v>
      </c>
      <c r="D969" s="50" t="n">
        <v>2</v>
      </c>
      <c r="E969" s="50" t="s">
        <v>96</v>
      </c>
      <c r="F969" s="50" t="s">
        <v>3585</v>
      </c>
      <c r="G969" s="52" t="s">
        <v>3586</v>
      </c>
      <c r="H969" s="50" t="n">
        <v>1</v>
      </c>
      <c r="I969" s="50"/>
      <c r="K969" s="50"/>
    </row>
    <row r="970" customFormat="false" ht="15" hidden="false" customHeight="false" outlineLevel="0" collapsed="false">
      <c r="A970" s="50" t="s">
        <v>3587</v>
      </c>
      <c r="B970" s="50" t="s">
        <v>3588</v>
      </c>
      <c r="C970" s="50" t="s">
        <v>95</v>
      </c>
      <c r="D970" s="50" t="n">
        <v>20</v>
      </c>
      <c r="E970" s="50" t="s">
        <v>113</v>
      </c>
      <c r="F970" s="50" t="s">
        <v>3589</v>
      </c>
      <c r="G970" s="52" t="s">
        <v>3590</v>
      </c>
      <c r="H970" s="50" t="n">
        <v>0</v>
      </c>
      <c r="I970" s="50"/>
      <c r="K970" s="50"/>
    </row>
    <row r="971" customFormat="false" ht="15" hidden="false" customHeight="false" outlineLevel="0" collapsed="false">
      <c r="A971" s="50" t="s">
        <v>3591</v>
      </c>
      <c r="B971" s="50" t="s">
        <v>3592</v>
      </c>
      <c r="C971" s="50" t="s">
        <v>95</v>
      </c>
      <c r="D971" s="50" t="n">
        <v>2</v>
      </c>
      <c r="E971" s="50" t="s">
        <v>96</v>
      </c>
      <c r="F971" s="50" t="s">
        <v>3593</v>
      </c>
      <c r="G971" s="52" t="s">
        <v>3594</v>
      </c>
      <c r="H971" s="50" t="n">
        <v>0</v>
      </c>
      <c r="I971" s="50"/>
      <c r="K971" s="50"/>
    </row>
    <row r="972" customFormat="false" ht="15" hidden="false" customHeight="false" outlineLevel="0" collapsed="false">
      <c r="A972" s="50" t="s">
        <v>3595</v>
      </c>
      <c r="B972" s="50" t="s">
        <v>3596</v>
      </c>
      <c r="C972" s="50" t="s">
        <v>95</v>
      </c>
      <c r="D972" s="50" t="n">
        <v>2</v>
      </c>
      <c r="E972" s="50" t="s">
        <v>96</v>
      </c>
      <c r="F972" s="50" t="s">
        <v>3597</v>
      </c>
      <c r="G972" s="52" t="s">
        <v>3598</v>
      </c>
      <c r="H972" s="50" t="n">
        <v>0</v>
      </c>
      <c r="I972" s="50"/>
      <c r="K972" s="50"/>
    </row>
    <row r="973" customFormat="false" ht="15" hidden="false" customHeight="false" outlineLevel="0" collapsed="false">
      <c r="A973" s="50" t="s">
        <v>3599</v>
      </c>
      <c r="B973" s="50" t="s">
        <v>3600</v>
      </c>
      <c r="C973" s="50" t="s">
        <v>95</v>
      </c>
      <c r="D973" s="50" t="n">
        <v>2</v>
      </c>
      <c r="E973" s="50" t="s">
        <v>96</v>
      </c>
      <c r="F973" s="50" t="s">
        <v>3601</v>
      </c>
      <c r="G973" s="52" t="s">
        <v>3602</v>
      </c>
      <c r="H973" s="50" t="n">
        <v>0</v>
      </c>
      <c r="I973" s="50"/>
      <c r="K973" s="50"/>
    </row>
    <row r="974" customFormat="false" ht="15" hidden="false" customHeight="false" outlineLevel="0" collapsed="false">
      <c r="A974" s="50" t="s">
        <v>3603</v>
      </c>
      <c r="B974" s="50" t="s">
        <v>3604</v>
      </c>
      <c r="C974" s="50" t="s">
        <v>95</v>
      </c>
      <c r="D974" s="50" t="n">
        <v>2</v>
      </c>
      <c r="E974" s="50" t="s">
        <v>96</v>
      </c>
      <c r="F974" s="50" t="s">
        <v>3605</v>
      </c>
      <c r="G974" s="52" t="s">
        <v>3606</v>
      </c>
      <c r="H974" s="50" t="n">
        <v>0</v>
      </c>
      <c r="I974" s="50"/>
      <c r="K974" s="50"/>
    </row>
    <row r="975" customFormat="false" ht="15" hidden="false" customHeight="false" outlineLevel="0" collapsed="false">
      <c r="A975" s="50" t="s">
        <v>3607</v>
      </c>
      <c r="B975" s="50" t="s">
        <v>3608</v>
      </c>
      <c r="C975" s="50" t="s">
        <v>95</v>
      </c>
      <c r="D975" s="50" t="n">
        <v>2</v>
      </c>
      <c r="E975" s="50" t="s">
        <v>96</v>
      </c>
      <c r="F975" s="50" t="s">
        <v>3609</v>
      </c>
      <c r="G975" s="52" t="s">
        <v>3610</v>
      </c>
      <c r="H975" s="50" t="n">
        <v>0</v>
      </c>
      <c r="I975" s="50"/>
      <c r="K975" s="50"/>
    </row>
    <row r="976" customFormat="false" ht="15" hidden="false" customHeight="false" outlineLevel="0" collapsed="false">
      <c r="A976" s="50" t="s">
        <v>3611</v>
      </c>
      <c r="B976" s="50" t="s">
        <v>3612</v>
      </c>
      <c r="C976" s="50" t="s">
        <v>95</v>
      </c>
      <c r="D976" s="50" t="n">
        <v>2</v>
      </c>
      <c r="E976" s="50" t="s">
        <v>96</v>
      </c>
      <c r="F976" s="50" t="s">
        <v>3613</v>
      </c>
      <c r="G976" s="52" t="s">
        <v>3614</v>
      </c>
      <c r="H976" s="50" t="n">
        <v>0</v>
      </c>
      <c r="I976" s="50"/>
      <c r="K976" s="50"/>
    </row>
    <row r="977" customFormat="false" ht="15" hidden="false" customHeight="false" outlineLevel="0" collapsed="false">
      <c r="A977" s="50" t="s">
        <v>3615</v>
      </c>
      <c r="B977" s="50" t="s">
        <v>3616</v>
      </c>
      <c r="C977" s="50" t="s">
        <v>95</v>
      </c>
      <c r="D977" s="50" t="n">
        <v>2</v>
      </c>
      <c r="E977" s="50" t="s">
        <v>96</v>
      </c>
      <c r="F977" s="50" t="s">
        <v>3617</v>
      </c>
      <c r="G977" s="52" t="s">
        <v>3618</v>
      </c>
      <c r="H977" s="50" t="n">
        <v>0</v>
      </c>
      <c r="I977" s="50"/>
      <c r="K977" s="50"/>
    </row>
    <row r="978" customFormat="false" ht="15" hidden="false" customHeight="false" outlineLevel="0" collapsed="false">
      <c r="A978" s="50" t="s">
        <v>3619</v>
      </c>
      <c r="B978" s="50" t="s">
        <v>3620</v>
      </c>
      <c r="C978" s="50" t="s">
        <v>95</v>
      </c>
      <c r="D978" s="50" t="n">
        <v>2</v>
      </c>
      <c r="E978" s="50" t="s">
        <v>96</v>
      </c>
      <c r="F978" s="50" t="s">
        <v>3621</v>
      </c>
      <c r="G978" s="52" t="s">
        <v>3622</v>
      </c>
      <c r="H978" s="50" t="n">
        <v>0</v>
      </c>
      <c r="I978" s="50"/>
      <c r="K978" s="50"/>
    </row>
    <row r="979" customFormat="false" ht="15" hidden="false" customHeight="false" outlineLevel="0" collapsed="false">
      <c r="A979" s="50" t="s">
        <v>3623</v>
      </c>
      <c r="B979" s="50" t="s">
        <v>3624</v>
      </c>
      <c r="C979" s="50" t="s">
        <v>95</v>
      </c>
      <c r="D979" s="50" t="n">
        <v>2</v>
      </c>
      <c r="E979" s="50" t="s">
        <v>96</v>
      </c>
      <c r="F979" s="50" t="s">
        <v>3625</v>
      </c>
      <c r="G979" s="52" t="s">
        <v>1424</v>
      </c>
      <c r="H979" s="50" t="n">
        <v>0</v>
      </c>
      <c r="I979" s="50"/>
      <c r="K979" s="50"/>
    </row>
    <row r="980" customFormat="false" ht="15" hidden="false" customHeight="false" outlineLevel="0" collapsed="false">
      <c r="A980" s="50" t="s">
        <v>3626</v>
      </c>
      <c r="B980" s="50" t="s">
        <v>3627</v>
      </c>
      <c r="C980" s="50" t="s">
        <v>95</v>
      </c>
      <c r="D980" s="50" t="n">
        <v>2</v>
      </c>
      <c r="E980" s="50" t="s">
        <v>96</v>
      </c>
      <c r="F980" s="50" t="s">
        <v>3628</v>
      </c>
      <c r="G980" s="52" t="s">
        <v>3610</v>
      </c>
      <c r="H980" s="50" t="n">
        <v>0</v>
      </c>
      <c r="I980" s="50"/>
      <c r="K980" s="50"/>
    </row>
    <row r="981" customFormat="false" ht="15" hidden="false" customHeight="false" outlineLevel="0" collapsed="false">
      <c r="A981" s="50" t="s">
        <v>3629</v>
      </c>
      <c r="B981" s="50" t="s">
        <v>3630</v>
      </c>
      <c r="C981" s="50" t="s">
        <v>95</v>
      </c>
      <c r="D981" s="50" t="n">
        <v>2</v>
      </c>
      <c r="E981" s="50" t="s">
        <v>96</v>
      </c>
      <c r="F981" s="50" t="s">
        <v>3631</v>
      </c>
      <c r="G981" s="52" t="s">
        <v>3632</v>
      </c>
      <c r="H981" s="50" t="n">
        <v>0</v>
      </c>
      <c r="I981" s="50"/>
      <c r="K981" s="50"/>
    </row>
    <row r="982" customFormat="false" ht="15" hidden="false" customHeight="false" outlineLevel="0" collapsed="false">
      <c r="A982" s="50" t="s">
        <v>3633</v>
      </c>
      <c r="B982" s="50" t="s">
        <v>3634</v>
      </c>
      <c r="C982" s="50" t="s">
        <v>95</v>
      </c>
      <c r="D982" s="50" t="n">
        <v>20</v>
      </c>
      <c r="E982" s="50" t="s">
        <v>113</v>
      </c>
      <c r="F982" s="50" t="s">
        <v>3635</v>
      </c>
      <c r="G982" s="52" t="s">
        <v>3636</v>
      </c>
      <c r="H982" s="50" t="n">
        <v>0</v>
      </c>
      <c r="I982" s="50"/>
      <c r="K982" s="50"/>
    </row>
    <row r="983" customFormat="false" ht="15" hidden="false" customHeight="false" outlineLevel="0" collapsed="false">
      <c r="A983" s="50" t="s">
        <v>3637</v>
      </c>
      <c r="B983" s="50" t="s">
        <v>3638</v>
      </c>
      <c r="C983" s="50" t="s">
        <v>95</v>
      </c>
      <c r="D983" s="50" t="n">
        <v>20</v>
      </c>
      <c r="E983" s="50" t="s">
        <v>113</v>
      </c>
      <c r="F983" s="50" t="s">
        <v>3639</v>
      </c>
      <c r="G983" s="52" t="s">
        <v>3640</v>
      </c>
      <c r="H983" s="50" t="n">
        <v>0</v>
      </c>
      <c r="I983" s="50"/>
      <c r="K983" s="50"/>
    </row>
    <row r="984" customFormat="false" ht="15" hidden="false" customHeight="false" outlineLevel="0" collapsed="false">
      <c r="A984" s="50" t="s">
        <v>3641</v>
      </c>
      <c r="B984" s="50" t="s">
        <v>3642</v>
      </c>
      <c r="C984" s="50" t="s">
        <v>95</v>
      </c>
      <c r="D984" s="50" t="n">
        <v>2</v>
      </c>
      <c r="E984" s="50" t="s">
        <v>96</v>
      </c>
      <c r="F984" s="50" t="s">
        <v>3643</v>
      </c>
      <c r="G984" s="52" t="s">
        <v>3644</v>
      </c>
      <c r="H984" s="50" t="n">
        <v>0</v>
      </c>
      <c r="I984" s="50"/>
      <c r="K984" s="50"/>
    </row>
    <row r="985" customFormat="false" ht="15" hidden="false" customHeight="false" outlineLevel="0" collapsed="false">
      <c r="A985" s="50" t="s">
        <v>3645</v>
      </c>
      <c r="B985" s="50" t="s">
        <v>3646</v>
      </c>
      <c r="C985" s="50" t="s">
        <v>238</v>
      </c>
      <c r="D985" s="50" t="n">
        <v>20</v>
      </c>
      <c r="E985" s="50" t="s">
        <v>113</v>
      </c>
      <c r="F985" s="50" t="s">
        <v>3647</v>
      </c>
      <c r="G985" s="52" t="s">
        <v>3648</v>
      </c>
      <c r="H985" s="50" t="n">
        <v>0</v>
      </c>
      <c r="I985" s="50"/>
      <c r="K985" s="50"/>
    </row>
    <row r="986" customFormat="false" ht="15" hidden="false" customHeight="false" outlineLevel="0" collapsed="false">
      <c r="A986" s="50" t="s">
        <v>3649</v>
      </c>
      <c r="B986" s="50" t="s">
        <v>3650</v>
      </c>
      <c r="C986" s="50" t="s">
        <v>238</v>
      </c>
      <c r="D986" s="50" t="n">
        <v>20</v>
      </c>
      <c r="E986" s="50" t="s">
        <v>113</v>
      </c>
      <c r="F986" s="50" t="s">
        <v>3651</v>
      </c>
      <c r="G986" s="52" t="s">
        <v>3652</v>
      </c>
      <c r="H986" s="50" t="n">
        <v>0</v>
      </c>
      <c r="I986" s="50"/>
      <c r="K986" s="50"/>
    </row>
    <row r="987" customFormat="false" ht="25.5" hidden="false" customHeight="false" outlineLevel="0" collapsed="false">
      <c r="A987" s="50" t="s">
        <v>3653</v>
      </c>
      <c r="B987" s="50" t="s">
        <v>3654</v>
      </c>
      <c r="C987" s="50" t="s">
        <v>238</v>
      </c>
      <c r="D987" s="50" t="n">
        <v>20</v>
      </c>
      <c r="E987" s="50" t="s">
        <v>113</v>
      </c>
      <c r="F987" s="50" t="s">
        <v>3655</v>
      </c>
      <c r="G987" s="52" t="s">
        <v>3656</v>
      </c>
      <c r="H987" s="50" t="n">
        <v>0</v>
      </c>
      <c r="I987" s="50"/>
      <c r="K987" s="50"/>
    </row>
    <row r="988" customFormat="false" ht="25.5" hidden="false" customHeight="false" outlineLevel="0" collapsed="false">
      <c r="A988" s="50" t="s">
        <v>3657</v>
      </c>
      <c r="B988" s="50" t="s">
        <v>3658</v>
      </c>
      <c r="C988" s="50" t="s">
        <v>95</v>
      </c>
      <c r="D988" s="50" t="n">
        <v>20</v>
      </c>
      <c r="E988" s="50" t="s">
        <v>113</v>
      </c>
      <c r="F988" s="50" t="s">
        <v>3659</v>
      </c>
      <c r="G988" s="52" t="s">
        <v>3660</v>
      </c>
      <c r="H988" s="50" t="n">
        <v>0</v>
      </c>
      <c r="I988" s="50"/>
      <c r="K988" s="50"/>
    </row>
    <row r="989" customFormat="false" ht="15" hidden="false" customHeight="false" outlineLevel="0" collapsed="false">
      <c r="A989" s="50" t="s">
        <v>3661</v>
      </c>
      <c r="B989" s="50" t="s">
        <v>3662</v>
      </c>
      <c r="C989" s="50" t="s">
        <v>95</v>
      </c>
      <c r="D989" s="50" t="n">
        <v>20</v>
      </c>
      <c r="E989" s="50" t="s">
        <v>113</v>
      </c>
      <c r="F989" s="50" t="s">
        <v>3663</v>
      </c>
      <c r="G989" s="52" t="s">
        <v>3664</v>
      </c>
      <c r="H989" s="50" t="n">
        <v>0</v>
      </c>
      <c r="I989" s="50"/>
      <c r="K989" s="50"/>
    </row>
    <row r="990" customFormat="false" ht="15" hidden="false" customHeight="false" outlineLevel="0" collapsed="false">
      <c r="A990" s="50" t="s">
        <v>3665</v>
      </c>
      <c r="B990" s="50" t="s">
        <v>3666</v>
      </c>
      <c r="C990" s="50" t="s">
        <v>95</v>
      </c>
      <c r="D990" s="50" t="n">
        <v>20</v>
      </c>
      <c r="E990" s="50" t="s">
        <v>113</v>
      </c>
      <c r="F990" s="50" t="s">
        <v>3667</v>
      </c>
      <c r="G990" s="52" t="s">
        <v>3668</v>
      </c>
      <c r="H990" s="50" t="n">
        <v>0</v>
      </c>
      <c r="I990" s="50"/>
      <c r="K990" s="50"/>
    </row>
    <row r="991" customFormat="false" ht="15" hidden="false" customHeight="false" outlineLevel="0" collapsed="false">
      <c r="A991" s="50" t="s">
        <v>3669</v>
      </c>
      <c r="B991" s="50" t="s">
        <v>3670</v>
      </c>
      <c r="C991" s="50" t="s">
        <v>95</v>
      </c>
      <c r="D991" s="50" t="n">
        <v>20</v>
      </c>
      <c r="E991" s="50" t="s">
        <v>113</v>
      </c>
      <c r="F991" s="50" t="s">
        <v>3671</v>
      </c>
      <c r="G991" s="52" t="s">
        <v>3672</v>
      </c>
      <c r="H991" s="50" t="n">
        <v>0</v>
      </c>
      <c r="I991" s="50"/>
      <c r="K991" s="50"/>
    </row>
    <row r="992" customFormat="false" ht="15" hidden="false" customHeight="false" outlineLevel="0" collapsed="false">
      <c r="A992" s="50" t="s">
        <v>3673</v>
      </c>
      <c r="B992" s="50" t="s">
        <v>3674</v>
      </c>
      <c r="C992" s="50" t="s">
        <v>95</v>
      </c>
      <c r="D992" s="50" t="n">
        <v>20</v>
      </c>
      <c r="E992" s="50" t="s">
        <v>113</v>
      </c>
      <c r="F992" s="50" t="s">
        <v>3675</v>
      </c>
      <c r="G992" s="52" t="s">
        <v>3180</v>
      </c>
      <c r="H992" s="50" t="n">
        <v>0</v>
      </c>
      <c r="I992" s="50"/>
      <c r="K992" s="50"/>
    </row>
    <row r="993" customFormat="false" ht="15" hidden="false" customHeight="false" outlineLevel="0" collapsed="false">
      <c r="A993" s="50" t="s">
        <v>3676</v>
      </c>
      <c r="B993" s="50" t="s">
        <v>3677</v>
      </c>
      <c r="C993" s="50" t="s">
        <v>95</v>
      </c>
      <c r="D993" s="50" t="n">
        <v>20</v>
      </c>
      <c r="E993" s="50" t="s">
        <v>113</v>
      </c>
      <c r="F993" s="50" t="s">
        <v>3678</v>
      </c>
      <c r="G993" s="52" t="s">
        <v>3679</v>
      </c>
      <c r="H993" s="50" t="n">
        <v>0</v>
      </c>
      <c r="I993" s="50"/>
      <c r="K993" s="50"/>
    </row>
    <row r="994" customFormat="false" ht="15" hidden="false" customHeight="false" outlineLevel="0" collapsed="false">
      <c r="A994" s="50" t="s">
        <v>3680</v>
      </c>
      <c r="B994" s="50" t="s">
        <v>3681</v>
      </c>
      <c r="C994" s="50" t="s">
        <v>95</v>
      </c>
      <c r="D994" s="50" t="n">
        <v>20</v>
      </c>
      <c r="E994" s="50" t="s">
        <v>113</v>
      </c>
      <c r="F994" s="50" t="s">
        <v>3682</v>
      </c>
      <c r="G994" s="52" t="s">
        <v>3683</v>
      </c>
      <c r="H994" s="50" t="n">
        <v>0</v>
      </c>
      <c r="I994" s="50"/>
      <c r="K994" s="50"/>
    </row>
    <row r="995" customFormat="false" ht="15" hidden="false" customHeight="false" outlineLevel="0" collapsed="false">
      <c r="A995" s="50" t="s">
        <v>3684</v>
      </c>
      <c r="B995" s="50" t="s">
        <v>3685</v>
      </c>
      <c r="C995" s="50" t="s">
        <v>95</v>
      </c>
      <c r="D995" s="50" t="n">
        <v>20</v>
      </c>
      <c r="E995" s="50" t="s">
        <v>113</v>
      </c>
      <c r="F995" s="50" t="s">
        <v>3686</v>
      </c>
      <c r="G995" s="52" t="s">
        <v>3687</v>
      </c>
      <c r="H995" s="50" t="n">
        <v>0</v>
      </c>
      <c r="I995" s="50"/>
      <c r="K995" s="50"/>
    </row>
    <row r="996" customFormat="false" ht="15" hidden="false" customHeight="false" outlineLevel="0" collapsed="false">
      <c r="A996" s="50" t="s">
        <v>3688</v>
      </c>
      <c r="B996" s="50" t="s">
        <v>3689</v>
      </c>
      <c r="C996" s="50" t="s">
        <v>95</v>
      </c>
      <c r="D996" s="50" t="n">
        <v>20</v>
      </c>
      <c r="E996" s="50" t="s">
        <v>113</v>
      </c>
      <c r="F996" s="50" t="s">
        <v>3690</v>
      </c>
      <c r="G996" s="52" t="s">
        <v>3691</v>
      </c>
      <c r="H996" s="50" t="n">
        <v>0</v>
      </c>
      <c r="I996" s="50"/>
      <c r="K996" s="50"/>
    </row>
    <row r="997" customFormat="false" ht="15" hidden="false" customHeight="false" outlineLevel="0" collapsed="false">
      <c r="A997" s="50" t="s">
        <v>3692</v>
      </c>
      <c r="B997" s="50" t="s">
        <v>3693</v>
      </c>
      <c r="C997" s="50" t="s">
        <v>238</v>
      </c>
      <c r="D997" s="50" t="n">
        <v>20</v>
      </c>
      <c r="E997" s="50" t="s">
        <v>113</v>
      </c>
      <c r="F997" s="50" t="s">
        <v>3694</v>
      </c>
      <c r="G997" s="52" t="s">
        <v>3695</v>
      </c>
      <c r="H997" s="50" t="n">
        <v>0</v>
      </c>
      <c r="I997" s="50"/>
      <c r="K997" s="50"/>
    </row>
    <row r="998" customFormat="false" ht="15" hidden="false" customHeight="false" outlineLevel="0" collapsed="false">
      <c r="A998" s="50" t="s">
        <v>3696</v>
      </c>
      <c r="B998" s="50" t="s">
        <v>3697</v>
      </c>
      <c r="C998" s="50" t="s">
        <v>238</v>
      </c>
      <c r="D998" s="50" t="n">
        <v>20</v>
      </c>
      <c r="E998" s="50" t="s">
        <v>113</v>
      </c>
      <c r="F998" s="50" t="s">
        <v>3698</v>
      </c>
      <c r="G998" s="52" t="s">
        <v>3699</v>
      </c>
      <c r="H998" s="50" t="n">
        <v>0</v>
      </c>
      <c r="I998" s="50"/>
      <c r="K998" s="50"/>
    </row>
    <row r="999" customFormat="false" ht="25.5" hidden="false" customHeight="false" outlineLevel="0" collapsed="false">
      <c r="A999" s="50" t="s">
        <v>3700</v>
      </c>
      <c r="B999" s="50" t="s">
        <v>3701</v>
      </c>
      <c r="C999" s="50" t="s">
        <v>238</v>
      </c>
      <c r="D999" s="50" t="n">
        <v>20</v>
      </c>
      <c r="E999" s="50" t="s">
        <v>113</v>
      </c>
      <c r="F999" s="50" t="s">
        <v>3702</v>
      </c>
      <c r="G999" s="52" t="s">
        <v>3703</v>
      </c>
      <c r="H999" s="50" t="n">
        <v>0</v>
      </c>
      <c r="I999" s="50"/>
      <c r="K999" s="50"/>
    </row>
    <row r="1000" customFormat="false" ht="25.5" hidden="false" customHeight="false" outlineLevel="0" collapsed="false">
      <c r="A1000" s="50" t="s">
        <v>3704</v>
      </c>
      <c r="B1000" s="50" t="s">
        <v>3705</v>
      </c>
      <c r="C1000" s="50" t="s">
        <v>95</v>
      </c>
      <c r="D1000" s="50" t="n">
        <v>20</v>
      </c>
      <c r="E1000" s="50" t="s">
        <v>113</v>
      </c>
      <c r="F1000" s="50" t="s">
        <v>3706</v>
      </c>
      <c r="G1000" s="52" t="s">
        <v>3707</v>
      </c>
      <c r="H1000" s="50" t="n">
        <v>0</v>
      </c>
      <c r="I1000" s="50"/>
      <c r="K1000" s="50"/>
    </row>
    <row r="1001" customFormat="false" ht="15" hidden="false" customHeight="false" outlineLevel="0" collapsed="false">
      <c r="A1001" s="50" t="s">
        <v>3708</v>
      </c>
      <c r="B1001" s="50" t="s">
        <v>3709</v>
      </c>
      <c r="C1001" s="50" t="s">
        <v>95</v>
      </c>
      <c r="D1001" s="50" t="n">
        <v>20</v>
      </c>
      <c r="E1001" s="50" t="s">
        <v>113</v>
      </c>
      <c r="F1001" s="50" t="s">
        <v>3710</v>
      </c>
      <c r="G1001" s="52" t="s">
        <v>3711</v>
      </c>
      <c r="H1001" s="50" t="n">
        <v>0</v>
      </c>
      <c r="I1001" s="50"/>
      <c r="K1001" s="50"/>
    </row>
    <row r="1002" customFormat="false" ht="15" hidden="false" customHeight="false" outlineLevel="0" collapsed="false">
      <c r="A1002" s="50" t="s">
        <v>3712</v>
      </c>
      <c r="B1002" s="50" t="s">
        <v>3713</v>
      </c>
      <c r="C1002" s="50" t="s">
        <v>95</v>
      </c>
      <c r="D1002" s="50" t="n">
        <v>20</v>
      </c>
      <c r="E1002" s="50" t="s">
        <v>113</v>
      </c>
      <c r="F1002" s="50" t="s">
        <v>3714</v>
      </c>
      <c r="G1002" s="52" t="s">
        <v>3715</v>
      </c>
      <c r="H1002" s="50" t="n">
        <v>0</v>
      </c>
      <c r="I1002" s="50"/>
      <c r="K1002" s="50"/>
    </row>
    <row r="1003" customFormat="false" ht="15" hidden="false" customHeight="false" outlineLevel="0" collapsed="false">
      <c r="A1003" s="50" t="s">
        <v>3716</v>
      </c>
      <c r="B1003" s="50" t="s">
        <v>3717</v>
      </c>
      <c r="C1003" s="50" t="s">
        <v>95</v>
      </c>
      <c r="D1003" s="50" t="n">
        <v>20</v>
      </c>
      <c r="E1003" s="50" t="s">
        <v>113</v>
      </c>
      <c r="F1003" s="50" t="s">
        <v>3718</v>
      </c>
      <c r="G1003" s="52" t="s">
        <v>3719</v>
      </c>
      <c r="H1003" s="50" t="n">
        <v>0</v>
      </c>
      <c r="I1003" s="50"/>
      <c r="K1003" s="50"/>
    </row>
    <row r="1004" customFormat="false" ht="15" hidden="false" customHeight="false" outlineLevel="0" collapsed="false">
      <c r="A1004" s="50" t="s">
        <v>3720</v>
      </c>
      <c r="B1004" s="50" t="s">
        <v>3721</v>
      </c>
      <c r="C1004" s="50" t="s">
        <v>95</v>
      </c>
      <c r="D1004" s="50" t="n">
        <v>20</v>
      </c>
      <c r="E1004" s="50" t="s">
        <v>113</v>
      </c>
      <c r="F1004" s="50" t="s">
        <v>3722</v>
      </c>
      <c r="G1004" s="52" t="s">
        <v>3723</v>
      </c>
      <c r="H1004" s="50" t="n">
        <v>0</v>
      </c>
      <c r="I1004" s="50"/>
      <c r="K1004" s="50"/>
    </row>
    <row r="1005" customFormat="false" ht="15" hidden="false" customHeight="false" outlineLevel="0" collapsed="false">
      <c r="A1005" s="50" t="s">
        <v>3724</v>
      </c>
      <c r="B1005" s="50" t="s">
        <v>3725</v>
      </c>
      <c r="C1005" s="50" t="s">
        <v>95</v>
      </c>
      <c r="D1005" s="50" t="n">
        <v>20</v>
      </c>
      <c r="E1005" s="50" t="s">
        <v>113</v>
      </c>
      <c r="F1005" s="50" t="s">
        <v>3726</v>
      </c>
      <c r="G1005" s="52" t="s">
        <v>3727</v>
      </c>
      <c r="H1005" s="50" t="n">
        <v>0</v>
      </c>
      <c r="I1005" s="50"/>
      <c r="K1005" s="50"/>
    </row>
    <row r="1006" customFormat="false" ht="15" hidden="false" customHeight="false" outlineLevel="0" collapsed="false">
      <c r="A1006" s="50" t="s">
        <v>3728</v>
      </c>
      <c r="B1006" s="50" t="s">
        <v>3729</v>
      </c>
      <c r="C1006" s="50" t="s">
        <v>95</v>
      </c>
      <c r="D1006" s="50" t="n">
        <v>20</v>
      </c>
      <c r="E1006" s="50" t="s">
        <v>113</v>
      </c>
      <c r="F1006" s="50" t="s">
        <v>3730</v>
      </c>
      <c r="G1006" s="52" t="s">
        <v>3731</v>
      </c>
      <c r="H1006" s="50" t="n">
        <v>0</v>
      </c>
      <c r="I1006" s="50"/>
      <c r="K1006" s="50"/>
    </row>
    <row r="1007" customFormat="false" ht="15" hidden="false" customHeight="false" outlineLevel="0" collapsed="false">
      <c r="A1007" s="50" t="s">
        <v>3732</v>
      </c>
      <c r="B1007" s="50" t="s">
        <v>3733</v>
      </c>
      <c r="C1007" s="50" t="s">
        <v>95</v>
      </c>
      <c r="D1007" s="50" t="n">
        <v>20</v>
      </c>
      <c r="E1007" s="50" t="s">
        <v>113</v>
      </c>
      <c r="F1007" s="50" t="s">
        <v>3734</v>
      </c>
      <c r="G1007" s="52" t="s">
        <v>3735</v>
      </c>
      <c r="H1007" s="50" t="n">
        <v>0</v>
      </c>
      <c r="I1007" s="50"/>
      <c r="K1007" s="50"/>
    </row>
    <row r="1008" customFormat="false" ht="15" hidden="false" customHeight="false" outlineLevel="0" collapsed="false">
      <c r="A1008" s="50" t="s">
        <v>3736</v>
      </c>
      <c r="B1008" s="50" t="s">
        <v>3737</v>
      </c>
      <c r="C1008" s="50" t="s">
        <v>95</v>
      </c>
      <c r="D1008" s="50" t="n">
        <v>20</v>
      </c>
      <c r="E1008" s="50" t="s">
        <v>113</v>
      </c>
      <c r="F1008" s="50" t="s">
        <v>3738</v>
      </c>
      <c r="G1008" s="52" t="s">
        <v>3739</v>
      </c>
      <c r="H1008" s="50" t="n">
        <v>0</v>
      </c>
      <c r="I1008" s="50"/>
      <c r="K1008" s="50"/>
    </row>
    <row r="1009" customFormat="false" ht="15" hidden="false" customHeight="false" outlineLevel="0" collapsed="false">
      <c r="A1009" s="50" t="s">
        <v>3740</v>
      </c>
      <c r="B1009" s="50" t="s">
        <v>3741</v>
      </c>
      <c r="C1009" s="50" t="s">
        <v>95</v>
      </c>
      <c r="D1009" s="50" t="n">
        <v>20</v>
      </c>
      <c r="E1009" s="50" t="s">
        <v>113</v>
      </c>
      <c r="F1009" s="50" t="s">
        <v>3742</v>
      </c>
      <c r="G1009" s="52" t="s">
        <v>3743</v>
      </c>
      <c r="H1009" s="50" t="n">
        <v>1</v>
      </c>
      <c r="I1009" s="50"/>
      <c r="K1009" s="50"/>
    </row>
    <row r="1010" customFormat="false" ht="15" hidden="false" customHeight="false" outlineLevel="0" collapsed="false">
      <c r="A1010" s="50" t="s">
        <v>3744</v>
      </c>
      <c r="B1010" s="50" t="s">
        <v>3745</v>
      </c>
      <c r="C1010" s="50" t="s">
        <v>95</v>
      </c>
      <c r="D1010" s="50" t="n">
        <v>20</v>
      </c>
      <c r="E1010" s="50" t="s">
        <v>113</v>
      </c>
      <c r="F1010" s="50" t="s">
        <v>3651</v>
      </c>
      <c r="G1010" s="52" t="s">
        <v>3746</v>
      </c>
      <c r="H1010" s="50" t="n">
        <v>0</v>
      </c>
      <c r="I1010" s="50"/>
      <c r="K1010" s="50"/>
    </row>
    <row r="1011" customFormat="false" ht="15" hidden="false" customHeight="false" outlineLevel="0" collapsed="false">
      <c r="A1011" s="50" t="s">
        <v>3747</v>
      </c>
      <c r="B1011" s="50" t="s">
        <v>3748</v>
      </c>
      <c r="C1011" s="50" t="s">
        <v>95</v>
      </c>
      <c r="D1011" s="50" t="n">
        <v>20</v>
      </c>
      <c r="E1011" s="50" t="s">
        <v>113</v>
      </c>
      <c r="F1011" s="50" t="s">
        <v>3647</v>
      </c>
      <c r="G1011" s="52" t="s">
        <v>3749</v>
      </c>
      <c r="H1011" s="50" t="n">
        <v>0</v>
      </c>
      <c r="I1011" s="50"/>
      <c r="K1011" s="50"/>
    </row>
    <row r="1012" customFormat="false" ht="25.5" hidden="false" customHeight="false" outlineLevel="0" collapsed="false">
      <c r="A1012" s="50" t="s">
        <v>3750</v>
      </c>
      <c r="B1012" s="50" t="s">
        <v>3751</v>
      </c>
      <c r="C1012" s="50" t="s">
        <v>95</v>
      </c>
      <c r="D1012" s="50" t="n">
        <v>20</v>
      </c>
      <c r="E1012" s="50" t="s">
        <v>113</v>
      </c>
      <c r="F1012" s="50" t="s">
        <v>3655</v>
      </c>
      <c r="G1012" s="52" t="s">
        <v>3752</v>
      </c>
      <c r="H1012" s="50" t="n">
        <v>0</v>
      </c>
      <c r="I1012" s="50"/>
      <c r="K1012" s="50"/>
    </row>
    <row r="1013" customFormat="false" ht="15" hidden="false" customHeight="false" outlineLevel="0" collapsed="false">
      <c r="A1013" s="50" t="s">
        <v>3753</v>
      </c>
      <c r="B1013" s="50" t="s">
        <v>3754</v>
      </c>
      <c r="C1013" s="50" t="s">
        <v>95</v>
      </c>
      <c r="D1013" s="50" t="n">
        <v>20</v>
      </c>
      <c r="E1013" s="50" t="s">
        <v>113</v>
      </c>
      <c r="F1013" s="50" t="s">
        <v>3698</v>
      </c>
      <c r="G1013" s="52" t="s">
        <v>3755</v>
      </c>
      <c r="H1013" s="50" t="n">
        <v>1</v>
      </c>
      <c r="I1013" s="50"/>
      <c r="K1013" s="50"/>
    </row>
    <row r="1014" customFormat="false" ht="15" hidden="false" customHeight="false" outlineLevel="0" collapsed="false">
      <c r="A1014" s="50" t="s">
        <v>3756</v>
      </c>
      <c r="B1014" s="50" t="s">
        <v>3757</v>
      </c>
      <c r="C1014" s="50" t="s">
        <v>95</v>
      </c>
      <c r="D1014" s="50" t="n">
        <v>20</v>
      </c>
      <c r="E1014" s="50" t="s">
        <v>113</v>
      </c>
      <c r="F1014" s="50" t="s">
        <v>3694</v>
      </c>
      <c r="G1014" s="52" t="s">
        <v>3758</v>
      </c>
      <c r="H1014" s="50" t="n">
        <v>1</v>
      </c>
      <c r="I1014" s="50"/>
      <c r="K1014" s="50"/>
    </row>
    <row r="1015" customFormat="false" ht="25.5" hidden="false" customHeight="false" outlineLevel="0" collapsed="false">
      <c r="A1015" s="50" t="s">
        <v>3759</v>
      </c>
      <c r="B1015" s="50" t="s">
        <v>3760</v>
      </c>
      <c r="C1015" s="50" t="s">
        <v>95</v>
      </c>
      <c r="D1015" s="50" t="n">
        <v>20</v>
      </c>
      <c r="E1015" s="50" t="s">
        <v>113</v>
      </c>
      <c r="F1015" s="50" t="s">
        <v>3702</v>
      </c>
      <c r="G1015" s="52" t="s">
        <v>3761</v>
      </c>
      <c r="H1015" s="50" t="n">
        <v>1</v>
      </c>
      <c r="I1015" s="50"/>
      <c r="K1015" s="50"/>
    </row>
    <row r="1016" customFormat="false" ht="15" hidden="false" customHeight="false" outlineLevel="0" collapsed="false">
      <c r="A1016" s="50" t="s">
        <v>3762</v>
      </c>
      <c r="B1016" s="50" t="s">
        <v>3763</v>
      </c>
      <c r="C1016" s="50" t="s">
        <v>95</v>
      </c>
      <c r="D1016" s="50" t="n">
        <v>20</v>
      </c>
      <c r="E1016" s="50" t="s">
        <v>113</v>
      </c>
      <c r="F1016" s="50" t="s">
        <v>3764</v>
      </c>
      <c r="G1016" s="52" t="s">
        <v>3765</v>
      </c>
      <c r="H1016" s="50" t="n">
        <v>0</v>
      </c>
      <c r="I1016" s="50"/>
      <c r="K1016" s="50"/>
    </row>
    <row r="1017" customFormat="false" ht="15" hidden="false" customHeight="false" outlineLevel="0" collapsed="false">
      <c r="A1017" s="50" t="s">
        <v>3766</v>
      </c>
      <c r="B1017" s="50" t="s">
        <v>3767</v>
      </c>
      <c r="C1017" s="50" t="s">
        <v>95</v>
      </c>
      <c r="D1017" s="50" t="n">
        <v>2</v>
      </c>
      <c r="E1017" s="50" t="s">
        <v>113</v>
      </c>
      <c r="F1017" s="50" t="s">
        <v>3768</v>
      </c>
      <c r="G1017" s="52" t="s">
        <v>3769</v>
      </c>
      <c r="H1017" s="50" t="n">
        <v>1</v>
      </c>
      <c r="I1017" s="50"/>
      <c r="K1017" s="50"/>
    </row>
    <row r="1018" customFormat="false" ht="15" hidden="false" customHeight="false" outlineLevel="0" collapsed="false">
      <c r="A1018" s="50" t="s">
        <v>3770</v>
      </c>
      <c r="B1018" s="50" t="s">
        <v>3771</v>
      </c>
      <c r="C1018" s="50" t="s">
        <v>95</v>
      </c>
      <c r="D1018" s="50" t="n">
        <v>20</v>
      </c>
      <c r="E1018" s="50" t="s">
        <v>113</v>
      </c>
      <c r="F1018" s="50" t="s">
        <v>3772</v>
      </c>
      <c r="G1018" s="52" t="s">
        <v>3773</v>
      </c>
      <c r="H1018" s="50" t="n">
        <v>0</v>
      </c>
      <c r="I1018" s="50"/>
      <c r="K1018" s="50"/>
    </row>
    <row r="1019" customFormat="false" ht="15" hidden="false" customHeight="false" outlineLevel="0" collapsed="false">
      <c r="A1019" s="50" t="s">
        <v>3774</v>
      </c>
      <c r="B1019" s="50" t="s">
        <v>3775</v>
      </c>
      <c r="C1019" s="50" t="s">
        <v>95</v>
      </c>
      <c r="D1019" s="50" t="n">
        <v>2</v>
      </c>
      <c r="E1019" s="50" t="s">
        <v>96</v>
      </c>
      <c r="F1019" s="50" t="s">
        <v>3776</v>
      </c>
      <c r="G1019" s="52" t="s">
        <v>3777</v>
      </c>
      <c r="H1019" s="50" t="n">
        <v>1</v>
      </c>
      <c r="I1019" s="50"/>
      <c r="K1019" s="50"/>
    </row>
    <row r="1020" customFormat="false" ht="15" hidden="false" customHeight="false" outlineLevel="0" collapsed="false">
      <c r="A1020" s="50" t="s">
        <v>3778</v>
      </c>
      <c r="B1020" s="50" t="s">
        <v>3779</v>
      </c>
      <c r="C1020" s="50" t="s">
        <v>95</v>
      </c>
      <c r="D1020" s="50" t="n">
        <v>2</v>
      </c>
      <c r="E1020" s="50" t="s">
        <v>96</v>
      </c>
      <c r="F1020" s="50" t="s">
        <v>3780</v>
      </c>
      <c r="G1020" s="52" t="s">
        <v>3781</v>
      </c>
      <c r="H1020" s="50" t="n">
        <v>1</v>
      </c>
      <c r="I1020" s="50"/>
      <c r="K1020" s="50"/>
    </row>
    <row r="1021" customFormat="false" ht="15" hidden="false" customHeight="false" outlineLevel="0" collapsed="false">
      <c r="A1021" s="50" t="s">
        <v>3782</v>
      </c>
      <c r="B1021" s="50" t="s">
        <v>3783</v>
      </c>
      <c r="C1021" s="50" t="s">
        <v>95</v>
      </c>
      <c r="D1021" s="50" t="n">
        <v>2</v>
      </c>
      <c r="E1021" s="50" t="s">
        <v>96</v>
      </c>
      <c r="F1021" s="50" t="s">
        <v>3784</v>
      </c>
      <c r="G1021" s="52" t="s">
        <v>3785</v>
      </c>
      <c r="H1021" s="50" t="n">
        <v>1</v>
      </c>
      <c r="I1021" s="50"/>
      <c r="K1021" s="50"/>
    </row>
    <row r="1022" customFormat="false" ht="15" hidden="false" customHeight="false" outlineLevel="0" collapsed="false">
      <c r="A1022" s="50" t="s">
        <v>3786</v>
      </c>
      <c r="B1022" s="50" t="s">
        <v>3787</v>
      </c>
      <c r="C1022" s="50" t="s">
        <v>95</v>
      </c>
      <c r="D1022" s="50" t="n">
        <v>2</v>
      </c>
      <c r="E1022" s="50" t="s">
        <v>96</v>
      </c>
      <c r="F1022" s="50" t="s">
        <v>3788</v>
      </c>
      <c r="G1022" s="52" t="s">
        <v>3789</v>
      </c>
      <c r="H1022" s="50" t="n">
        <v>0</v>
      </c>
      <c r="I1022" s="50"/>
      <c r="K1022" s="50"/>
    </row>
    <row r="1023" customFormat="false" ht="15" hidden="false" customHeight="false" outlineLevel="0" collapsed="false">
      <c r="A1023" s="50" t="s">
        <v>3790</v>
      </c>
      <c r="B1023" s="50" t="s">
        <v>3791</v>
      </c>
      <c r="C1023" s="50" t="s">
        <v>95</v>
      </c>
      <c r="D1023" s="50" t="n">
        <v>2</v>
      </c>
      <c r="E1023" s="50" t="s">
        <v>96</v>
      </c>
      <c r="F1023" s="50" t="s">
        <v>3792</v>
      </c>
      <c r="G1023" s="52" t="s">
        <v>3793</v>
      </c>
      <c r="H1023" s="50" t="n">
        <v>0</v>
      </c>
      <c r="I1023" s="50"/>
      <c r="K1023" s="50"/>
    </row>
    <row r="1024" customFormat="false" ht="15" hidden="false" customHeight="false" outlineLevel="0" collapsed="false">
      <c r="A1024" s="50" t="s">
        <v>3794</v>
      </c>
      <c r="B1024" s="50" t="s">
        <v>3795</v>
      </c>
      <c r="C1024" s="50" t="s">
        <v>95</v>
      </c>
      <c r="D1024" s="50" t="n">
        <v>2</v>
      </c>
      <c r="E1024" s="50" t="s">
        <v>96</v>
      </c>
      <c r="F1024" s="50" t="s">
        <v>3796</v>
      </c>
      <c r="G1024" s="52" t="s">
        <v>3797</v>
      </c>
      <c r="H1024" s="50" t="n">
        <v>0</v>
      </c>
      <c r="I1024" s="50"/>
      <c r="K1024" s="50"/>
    </row>
    <row r="1025" customFormat="false" ht="15" hidden="false" customHeight="false" outlineLevel="0" collapsed="false">
      <c r="A1025" s="50" t="s">
        <v>3798</v>
      </c>
      <c r="B1025" s="50" t="s">
        <v>3799</v>
      </c>
      <c r="C1025" s="50" t="s">
        <v>95</v>
      </c>
      <c r="D1025" s="50" t="n">
        <v>2</v>
      </c>
      <c r="E1025" s="50" t="s">
        <v>96</v>
      </c>
      <c r="F1025" s="50" t="s">
        <v>3800</v>
      </c>
      <c r="G1025" s="52" t="s">
        <v>3801</v>
      </c>
      <c r="H1025" s="50" t="n">
        <v>0</v>
      </c>
      <c r="I1025" s="50"/>
      <c r="K1025" s="50"/>
    </row>
    <row r="1026" customFormat="false" ht="15" hidden="false" customHeight="false" outlineLevel="0" collapsed="false">
      <c r="A1026" s="50" t="s">
        <v>3802</v>
      </c>
      <c r="B1026" s="50" t="s">
        <v>3803</v>
      </c>
      <c r="C1026" s="50" t="s">
        <v>95</v>
      </c>
      <c r="D1026" s="50" t="n">
        <v>2</v>
      </c>
      <c r="E1026" s="50" t="s">
        <v>96</v>
      </c>
      <c r="F1026" s="50" t="s">
        <v>3804</v>
      </c>
      <c r="G1026" s="52" t="s">
        <v>1435</v>
      </c>
      <c r="H1026" s="50" t="n">
        <v>0</v>
      </c>
      <c r="I1026" s="50"/>
      <c r="K1026" s="50"/>
    </row>
    <row r="1027" customFormat="false" ht="15" hidden="false" customHeight="false" outlineLevel="0" collapsed="false">
      <c r="A1027" s="50" t="s">
        <v>3805</v>
      </c>
      <c r="B1027" s="50" t="s">
        <v>3806</v>
      </c>
      <c r="C1027" s="50" t="s">
        <v>95</v>
      </c>
      <c r="D1027" s="50" t="n">
        <v>2</v>
      </c>
      <c r="E1027" s="50" t="s">
        <v>96</v>
      </c>
      <c r="F1027" s="50" t="s">
        <v>3807</v>
      </c>
      <c r="G1027" s="52" t="s">
        <v>3679</v>
      </c>
      <c r="H1027" s="50" t="n">
        <v>0</v>
      </c>
      <c r="I1027" s="50"/>
      <c r="K1027" s="50"/>
    </row>
    <row r="1028" customFormat="false" ht="15" hidden="false" customHeight="false" outlineLevel="0" collapsed="false">
      <c r="A1028" s="50" t="s">
        <v>3808</v>
      </c>
      <c r="B1028" s="50" t="s">
        <v>3809</v>
      </c>
      <c r="C1028" s="50" t="s">
        <v>95</v>
      </c>
      <c r="D1028" s="50" t="n">
        <v>2</v>
      </c>
      <c r="E1028" s="50" t="s">
        <v>96</v>
      </c>
      <c r="F1028" s="50" t="s">
        <v>3810</v>
      </c>
      <c r="G1028" s="52" t="s">
        <v>3811</v>
      </c>
      <c r="H1028" s="50" t="n">
        <v>0</v>
      </c>
      <c r="I1028" s="50"/>
      <c r="K1028" s="50"/>
    </row>
    <row r="1029" customFormat="false" ht="25.5" hidden="false" customHeight="false" outlineLevel="0" collapsed="false">
      <c r="A1029" s="50" t="s">
        <v>3812</v>
      </c>
      <c r="B1029" s="50" t="s">
        <v>3813</v>
      </c>
      <c r="C1029" s="50" t="s">
        <v>95</v>
      </c>
      <c r="D1029" s="50" t="n">
        <v>2</v>
      </c>
      <c r="E1029" s="50" t="s">
        <v>96</v>
      </c>
      <c r="F1029" s="50" t="s">
        <v>3814</v>
      </c>
      <c r="G1029" s="52" t="s">
        <v>3815</v>
      </c>
      <c r="H1029" s="50" t="n">
        <v>0</v>
      </c>
      <c r="I1029" s="50"/>
      <c r="K1029" s="50"/>
    </row>
    <row r="1030" customFormat="false" ht="15" hidden="false" customHeight="false" outlineLevel="0" collapsed="false">
      <c r="A1030" s="50" t="s">
        <v>3816</v>
      </c>
      <c r="B1030" s="50" t="s">
        <v>3817</v>
      </c>
      <c r="C1030" s="50" t="s">
        <v>95</v>
      </c>
      <c r="D1030" s="50" t="n">
        <v>2</v>
      </c>
      <c r="E1030" s="50" t="s">
        <v>96</v>
      </c>
      <c r="F1030" s="50" t="s">
        <v>3818</v>
      </c>
      <c r="G1030" s="52" t="s">
        <v>1868</v>
      </c>
      <c r="H1030" s="50" t="n">
        <v>0</v>
      </c>
      <c r="I1030" s="50"/>
      <c r="K1030" s="50"/>
    </row>
    <row r="1031" customFormat="false" ht="15" hidden="false" customHeight="false" outlineLevel="0" collapsed="false">
      <c r="A1031" s="50" t="s">
        <v>3819</v>
      </c>
      <c r="B1031" s="50" t="s">
        <v>3820</v>
      </c>
      <c r="C1031" s="50" t="s">
        <v>95</v>
      </c>
      <c r="D1031" s="50" t="n">
        <v>15</v>
      </c>
      <c r="E1031" s="50" t="s">
        <v>113</v>
      </c>
      <c r="F1031" s="50" t="s">
        <v>3821</v>
      </c>
      <c r="G1031" s="52" t="s">
        <v>2096</v>
      </c>
      <c r="H1031" s="50" t="n">
        <v>1</v>
      </c>
      <c r="I1031" s="50"/>
      <c r="K1031" s="50"/>
    </row>
    <row r="1032" customFormat="false" ht="15" hidden="false" customHeight="false" outlineLevel="0" collapsed="false">
      <c r="A1032" s="50" t="s">
        <v>3822</v>
      </c>
      <c r="B1032" s="50" t="s">
        <v>3823</v>
      </c>
      <c r="C1032" s="50" t="s">
        <v>95</v>
      </c>
      <c r="D1032" s="50" t="n">
        <v>2</v>
      </c>
      <c r="E1032" s="50" t="s">
        <v>96</v>
      </c>
      <c r="F1032" s="50" t="s">
        <v>3824</v>
      </c>
      <c r="G1032" s="52" t="s">
        <v>3825</v>
      </c>
      <c r="H1032" s="50" t="n">
        <v>0</v>
      </c>
      <c r="I1032" s="50"/>
      <c r="K1032" s="50"/>
    </row>
    <row r="1033" customFormat="false" ht="15" hidden="false" customHeight="false" outlineLevel="0" collapsed="false">
      <c r="A1033" s="50" t="s">
        <v>3826</v>
      </c>
      <c r="B1033" s="50" t="s">
        <v>3827</v>
      </c>
      <c r="C1033" s="50" t="s">
        <v>95</v>
      </c>
      <c r="D1033" s="50" t="n">
        <v>2</v>
      </c>
      <c r="E1033" s="50" t="s">
        <v>96</v>
      </c>
      <c r="F1033" s="50" t="s">
        <v>3828</v>
      </c>
      <c r="G1033" s="52" t="s">
        <v>3829</v>
      </c>
      <c r="H1033" s="50" t="n">
        <v>0</v>
      </c>
      <c r="I1033" s="50"/>
      <c r="K1033" s="50"/>
    </row>
    <row r="1034" customFormat="false" ht="15" hidden="false" customHeight="false" outlineLevel="0" collapsed="false">
      <c r="A1034" s="50" t="s">
        <v>3830</v>
      </c>
      <c r="B1034" s="50" t="s">
        <v>3831</v>
      </c>
      <c r="C1034" s="50" t="s">
        <v>95</v>
      </c>
      <c r="D1034" s="50" t="n">
        <v>2</v>
      </c>
      <c r="E1034" s="50" t="s">
        <v>96</v>
      </c>
      <c r="F1034" s="50" t="s">
        <v>3832</v>
      </c>
      <c r="G1034" s="52" t="s">
        <v>3833</v>
      </c>
      <c r="H1034" s="50" t="n">
        <v>0</v>
      </c>
      <c r="I1034" s="50"/>
      <c r="K1034" s="50"/>
    </row>
    <row r="1035" customFormat="false" ht="15" hidden="false" customHeight="false" outlineLevel="0" collapsed="false">
      <c r="A1035" s="50" t="s">
        <v>3834</v>
      </c>
      <c r="B1035" s="50" t="s">
        <v>3835</v>
      </c>
      <c r="C1035" s="50" t="s">
        <v>95</v>
      </c>
      <c r="D1035" s="50" t="n">
        <v>2</v>
      </c>
      <c r="E1035" s="50" t="s">
        <v>96</v>
      </c>
      <c r="F1035" s="50" t="s">
        <v>3836</v>
      </c>
      <c r="G1035" s="52" t="s">
        <v>3837</v>
      </c>
      <c r="H1035" s="50" t="n">
        <v>0</v>
      </c>
      <c r="I1035" s="50"/>
      <c r="K1035" s="50"/>
    </row>
    <row r="1036" customFormat="false" ht="15" hidden="false" customHeight="false" outlineLevel="0" collapsed="false">
      <c r="A1036" s="50" t="s">
        <v>3838</v>
      </c>
      <c r="B1036" s="50" t="s">
        <v>3839</v>
      </c>
      <c r="C1036" s="50" t="s">
        <v>95</v>
      </c>
      <c r="D1036" s="50" t="n">
        <v>2</v>
      </c>
      <c r="E1036" s="50" t="s">
        <v>96</v>
      </c>
      <c r="F1036" s="50" t="s">
        <v>3840</v>
      </c>
      <c r="G1036" s="52" t="s">
        <v>304</v>
      </c>
      <c r="H1036" s="50" t="n">
        <v>0</v>
      </c>
      <c r="I1036" s="50"/>
      <c r="K1036" s="50"/>
    </row>
    <row r="1037" customFormat="false" ht="15" hidden="false" customHeight="false" outlineLevel="0" collapsed="false">
      <c r="A1037" s="50" t="s">
        <v>3841</v>
      </c>
      <c r="B1037" s="50" t="s">
        <v>3842</v>
      </c>
      <c r="C1037" s="50" t="s">
        <v>95</v>
      </c>
      <c r="D1037" s="50" t="n">
        <v>2</v>
      </c>
      <c r="E1037" s="50" t="s">
        <v>96</v>
      </c>
      <c r="F1037" s="50" t="s">
        <v>3843</v>
      </c>
      <c r="G1037" s="52" t="s">
        <v>3844</v>
      </c>
      <c r="H1037" s="50" t="n">
        <v>0</v>
      </c>
      <c r="I1037" s="50"/>
      <c r="K1037" s="50"/>
    </row>
    <row r="1038" customFormat="false" ht="15" hidden="false" customHeight="false" outlineLevel="0" collapsed="false">
      <c r="A1038" s="50" t="s">
        <v>3845</v>
      </c>
      <c r="B1038" s="50" t="s">
        <v>3846</v>
      </c>
      <c r="C1038" s="50" t="s">
        <v>95</v>
      </c>
      <c r="D1038" s="50" t="n">
        <v>2</v>
      </c>
      <c r="E1038" s="50" t="s">
        <v>96</v>
      </c>
      <c r="F1038" s="50" t="s">
        <v>3847</v>
      </c>
      <c r="G1038" s="52" t="s">
        <v>3848</v>
      </c>
      <c r="H1038" s="50" t="n">
        <v>0</v>
      </c>
      <c r="I1038" s="50"/>
      <c r="K1038" s="50"/>
    </row>
    <row r="1039" customFormat="false" ht="15" hidden="false" customHeight="false" outlineLevel="0" collapsed="false">
      <c r="A1039" s="50" t="s">
        <v>3849</v>
      </c>
      <c r="B1039" s="50" t="s">
        <v>3850</v>
      </c>
      <c r="C1039" s="50" t="s">
        <v>95</v>
      </c>
      <c r="D1039" s="50" t="n">
        <v>2</v>
      </c>
      <c r="E1039" s="50" t="s">
        <v>96</v>
      </c>
      <c r="F1039" s="50" t="s">
        <v>3851</v>
      </c>
      <c r="G1039" s="52" t="s">
        <v>3852</v>
      </c>
      <c r="H1039" s="50" t="n">
        <v>0</v>
      </c>
      <c r="I1039" s="50"/>
      <c r="K1039" s="50"/>
    </row>
    <row r="1040" customFormat="false" ht="15" hidden="false" customHeight="false" outlineLevel="0" collapsed="false">
      <c r="A1040" s="50" t="s">
        <v>3853</v>
      </c>
      <c r="B1040" s="50" t="s">
        <v>3854</v>
      </c>
      <c r="C1040" s="50" t="s">
        <v>95</v>
      </c>
      <c r="D1040" s="50" t="n">
        <v>15</v>
      </c>
      <c r="E1040" s="50" t="s">
        <v>113</v>
      </c>
      <c r="F1040" s="50" t="s">
        <v>3855</v>
      </c>
      <c r="G1040" s="52" t="s">
        <v>3856</v>
      </c>
      <c r="H1040" s="50" t="n">
        <v>0</v>
      </c>
      <c r="I1040" s="50"/>
      <c r="K1040" s="50"/>
    </row>
    <row r="1041" customFormat="false" ht="15" hidden="false" customHeight="false" outlineLevel="0" collapsed="false">
      <c r="A1041" s="50" t="s">
        <v>3857</v>
      </c>
      <c r="B1041" s="50" t="s">
        <v>3858</v>
      </c>
      <c r="C1041" s="50" t="s">
        <v>95</v>
      </c>
      <c r="D1041" s="50" t="n">
        <v>2</v>
      </c>
      <c r="E1041" s="50" t="s">
        <v>96</v>
      </c>
      <c r="F1041" s="50" t="s">
        <v>3859</v>
      </c>
      <c r="G1041" s="52" t="s">
        <v>484</v>
      </c>
      <c r="H1041" s="50" t="n">
        <v>30</v>
      </c>
      <c r="I1041" s="50"/>
      <c r="K1041" s="50"/>
    </row>
    <row r="1042" customFormat="false" ht="15" hidden="false" customHeight="false" outlineLevel="0" collapsed="false">
      <c r="A1042" s="50" t="s">
        <v>3860</v>
      </c>
      <c r="B1042" s="50" t="s">
        <v>3861</v>
      </c>
      <c r="C1042" s="50" t="s">
        <v>95</v>
      </c>
      <c r="D1042" s="50" t="n">
        <v>20</v>
      </c>
      <c r="E1042" s="50" t="s">
        <v>113</v>
      </c>
      <c r="F1042" s="50" t="s">
        <v>3862</v>
      </c>
      <c r="G1042" s="52" t="s">
        <v>3863</v>
      </c>
      <c r="H1042" s="50" t="n">
        <v>0</v>
      </c>
      <c r="I1042" s="50"/>
      <c r="K1042" s="50"/>
    </row>
    <row r="1043" customFormat="false" ht="15" hidden="false" customHeight="false" outlineLevel="0" collapsed="false">
      <c r="A1043" s="50" t="s">
        <v>3864</v>
      </c>
      <c r="B1043" s="50" t="s">
        <v>3865</v>
      </c>
      <c r="C1043" s="50" t="s">
        <v>95</v>
      </c>
      <c r="D1043" s="50" t="n">
        <v>20</v>
      </c>
      <c r="E1043" s="50" t="s">
        <v>113</v>
      </c>
      <c r="F1043" s="50" t="s">
        <v>3866</v>
      </c>
      <c r="G1043" s="52" t="s">
        <v>3867</v>
      </c>
      <c r="H1043" s="50" t="n">
        <v>0</v>
      </c>
      <c r="I1043" s="50"/>
      <c r="K1043" s="50"/>
    </row>
    <row r="1044" customFormat="false" ht="15" hidden="false" customHeight="false" outlineLevel="0" collapsed="false">
      <c r="A1044" s="50" t="s">
        <v>3868</v>
      </c>
      <c r="B1044" s="50" t="s">
        <v>3869</v>
      </c>
      <c r="C1044" s="50" t="s">
        <v>95</v>
      </c>
      <c r="D1044" s="50" t="n">
        <v>20</v>
      </c>
      <c r="E1044" s="50" t="s">
        <v>113</v>
      </c>
      <c r="F1044" s="50" t="s">
        <v>3870</v>
      </c>
      <c r="G1044" s="52" t="s">
        <v>1407</v>
      </c>
      <c r="H1044" s="50" t="n">
        <v>0</v>
      </c>
      <c r="I1044" s="50"/>
      <c r="K1044" s="50"/>
    </row>
    <row r="1045" customFormat="false" ht="15" hidden="false" customHeight="false" outlineLevel="0" collapsed="false">
      <c r="A1045" s="50" t="s">
        <v>3871</v>
      </c>
      <c r="B1045" s="50" t="s">
        <v>3872</v>
      </c>
      <c r="C1045" s="50" t="s">
        <v>95</v>
      </c>
      <c r="D1045" s="50" t="n">
        <v>2</v>
      </c>
      <c r="E1045" s="50" t="s">
        <v>96</v>
      </c>
      <c r="F1045" s="50" t="s">
        <v>3873</v>
      </c>
      <c r="G1045" s="52" t="s">
        <v>334</v>
      </c>
      <c r="H1045" s="50" t="n">
        <v>0</v>
      </c>
      <c r="I1045" s="50"/>
      <c r="K1045" s="50"/>
    </row>
    <row r="1046" customFormat="false" ht="15" hidden="false" customHeight="false" outlineLevel="0" collapsed="false">
      <c r="A1046" s="50" t="s">
        <v>52</v>
      </c>
      <c r="B1046" s="50" t="s">
        <v>3874</v>
      </c>
      <c r="C1046" s="50" t="s">
        <v>95</v>
      </c>
      <c r="D1046" s="50" t="n">
        <v>2</v>
      </c>
      <c r="E1046" s="50" t="s">
        <v>96</v>
      </c>
      <c r="F1046" s="50" t="s">
        <v>3875</v>
      </c>
      <c r="G1046" s="52" t="s">
        <v>3876</v>
      </c>
      <c r="H1046" s="50" t="n">
        <v>6</v>
      </c>
      <c r="I1046" s="50"/>
      <c r="K1046" s="50"/>
    </row>
    <row r="1047" customFormat="false" ht="15" hidden="false" customHeight="false" outlineLevel="0" collapsed="false">
      <c r="A1047" s="50" t="s">
        <v>53</v>
      </c>
      <c r="B1047" s="50" t="s">
        <v>3877</v>
      </c>
      <c r="C1047" s="50" t="s">
        <v>95</v>
      </c>
      <c r="D1047" s="50" t="n">
        <v>2</v>
      </c>
      <c r="E1047" s="50" t="s">
        <v>96</v>
      </c>
      <c r="F1047" s="50" t="s">
        <v>3878</v>
      </c>
      <c r="G1047" s="52" t="s">
        <v>1251</v>
      </c>
      <c r="H1047" s="50" t="n">
        <v>50</v>
      </c>
      <c r="I1047" s="50"/>
      <c r="K1047" s="50"/>
    </row>
    <row r="1048" customFormat="false" ht="15" hidden="false" customHeight="false" outlineLevel="0" collapsed="false">
      <c r="A1048" s="50" t="s">
        <v>64</v>
      </c>
      <c r="B1048" s="50" t="s">
        <v>3879</v>
      </c>
      <c r="C1048" s="50" t="s">
        <v>95</v>
      </c>
      <c r="D1048" s="50" t="n">
        <v>2</v>
      </c>
      <c r="E1048" s="50" t="s">
        <v>96</v>
      </c>
      <c r="F1048" s="50" t="s">
        <v>3880</v>
      </c>
      <c r="G1048" s="52" t="s">
        <v>3881</v>
      </c>
      <c r="H1048" s="50" t="n">
        <v>0</v>
      </c>
      <c r="I1048" s="50"/>
      <c r="K1048" s="50"/>
    </row>
    <row r="1049" customFormat="false" ht="15" hidden="false" customHeight="false" outlineLevel="0" collapsed="false">
      <c r="A1049" s="50" t="s">
        <v>55</v>
      </c>
      <c r="B1049" s="50" t="s">
        <v>3882</v>
      </c>
      <c r="C1049" s="50" t="s">
        <v>95</v>
      </c>
      <c r="D1049" s="50" t="n">
        <v>2</v>
      </c>
      <c r="E1049" s="50" t="s">
        <v>96</v>
      </c>
      <c r="F1049" s="50" t="s">
        <v>3883</v>
      </c>
      <c r="G1049" s="52" t="s">
        <v>3884</v>
      </c>
      <c r="H1049" s="50" t="n">
        <v>30</v>
      </c>
      <c r="I1049" s="50"/>
      <c r="K1049" s="50"/>
    </row>
    <row r="1050" customFormat="false" ht="15" hidden="false" customHeight="false" outlineLevel="0" collapsed="false">
      <c r="A1050" s="50" t="s">
        <v>56</v>
      </c>
      <c r="B1050" s="50" t="s">
        <v>3885</v>
      </c>
      <c r="C1050" s="50" t="s">
        <v>95</v>
      </c>
      <c r="D1050" s="50" t="n">
        <v>2</v>
      </c>
      <c r="E1050" s="50" t="s">
        <v>96</v>
      </c>
      <c r="F1050" s="50" t="s">
        <v>3886</v>
      </c>
      <c r="G1050" s="52" t="s">
        <v>1124</v>
      </c>
      <c r="H1050" s="50" t="n">
        <v>50</v>
      </c>
      <c r="I1050" s="50"/>
      <c r="K1050" s="50"/>
    </row>
    <row r="1051" customFormat="false" ht="15" hidden="false" customHeight="false" outlineLevel="0" collapsed="false">
      <c r="A1051" s="50" t="s">
        <v>67</v>
      </c>
      <c r="B1051" s="50" t="s">
        <v>3887</v>
      </c>
      <c r="C1051" s="50" t="s">
        <v>95</v>
      </c>
      <c r="D1051" s="50" t="n">
        <v>2</v>
      </c>
      <c r="E1051" s="50" t="s">
        <v>96</v>
      </c>
      <c r="F1051" s="50" t="s">
        <v>3888</v>
      </c>
      <c r="G1051" s="52" t="s">
        <v>284</v>
      </c>
      <c r="H1051" s="50" t="n">
        <v>1</v>
      </c>
      <c r="I1051" s="50"/>
      <c r="K1051" s="50"/>
    </row>
    <row r="1052" customFormat="false" ht="15" hidden="false" customHeight="false" outlineLevel="0" collapsed="false">
      <c r="A1052" s="50" t="s">
        <v>69</v>
      </c>
      <c r="B1052" s="50" t="s">
        <v>3889</v>
      </c>
      <c r="C1052" s="50" t="s">
        <v>95</v>
      </c>
      <c r="D1052" s="50" t="n">
        <v>2</v>
      </c>
      <c r="E1052" s="50" t="s">
        <v>96</v>
      </c>
      <c r="F1052" s="50" t="s">
        <v>3890</v>
      </c>
      <c r="G1052" s="52" t="s">
        <v>2894</v>
      </c>
      <c r="H1052" s="50" t="n">
        <v>1</v>
      </c>
      <c r="I1052" s="50"/>
      <c r="K1052" s="50"/>
    </row>
    <row r="1053" customFormat="false" ht="15" hidden="false" customHeight="false" outlineLevel="0" collapsed="false">
      <c r="A1053" s="50" t="s">
        <v>68</v>
      </c>
      <c r="B1053" s="50" t="s">
        <v>3891</v>
      </c>
      <c r="C1053" s="50" t="s">
        <v>95</v>
      </c>
      <c r="D1053" s="50" t="n">
        <v>2</v>
      </c>
      <c r="E1053" s="50" t="s">
        <v>96</v>
      </c>
      <c r="F1053" s="50" t="s">
        <v>3892</v>
      </c>
      <c r="G1053" s="52" t="s">
        <v>3893</v>
      </c>
      <c r="H1053" s="50" t="n">
        <v>20</v>
      </c>
      <c r="I1053" s="50"/>
      <c r="K1053" s="50"/>
    </row>
    <row r="1054" customFormat="false" ht="15" hidden="false" customHeight="false" outlineLevel="0" collapsed="false">
      <c r="A1054" s="50" t="s">
        <v>70</v>
      </c>
      <c r="B1054" s="50" t="s">
        <v>3894</v>
      </c>
      <c r="C1054" s="50" t="s">
        <v>95</v>
      </c>
      <c r="D1054" s="50" t="n">
        <v>2</v>
      </c>
      <c r="E1054" s="50" t="s">
        <v>96</v>
      </c>
      <c r="F1054" s="50" t="s">
        <v>3895</v>
      </c>
      <c r="G1054" s="52" t="s">
        <v>3896</v>
      </c>
      <c r="H1054" s="50" t="n">
        <v>1</v>
      </c>
      <c r="I1054" s="50"/>
      <c r="K1054" s="50"/>
    </row>
    <row r="1055" customFormat="false" ht="15" hidden="false" customHeight="false" outlineLevel="0" collapsed="false">
      <c r="A1055" s="50" t="s">
        <v>62</v>
      </c>
      <c r="B1055" s="50" t="s">
        <v>3897</v>
      </c>
      <c r="C1055" s="50" t="s">
        <v>95</v>
      </c>
      <c r="D1055" s="50" t="n">
        <v>2</v>
      </c>
      <c r="E1055" s="50" t="s">
        <v>96</v>
      </c>
      <c r="F1055" s="50" t="s">
        <v>3898</v>
      </c>
      <c r="G1055" s="52" t="s">
        <v>439</v>
      </c>
      <c r="H1055" s="50" t="n">
        <v>50</v>
      </c>
      <c r="I1055" s="50"/>
      <c r="K1055" s="50"/>
    </row>
    <row r="1056" customFormat="false" ht="15" hidden="false" customHeight="false" outlineLevel="0" collapsed="false">
      <c r="A1056" s="50" t="s">
        <v>61</v>
      </c>
      <c r="B1056" s="50" t="s">
        <v>3899</v>
      </c>
      <c r="C1056" s="50" t="s">
        <v>95</v>
      </c>
      <c r="D1056" s="50" t="n">
        <v>2</v>
      </c>
      <c r="E1056" s="50" t="s">
        <v>96</v>
      </c>
      <c r="F1056" s="50" t="s">
        <v>3900</v>
      </c>
      <c r="G1056" s="52" t="s">
        <v>439</v>
      </c>
      <c r="H1056" s="50" t="n">
        <v>50</v>
      </c>
      <c r="I1056" s="50"/>
      <c r="K1056" s="50"/>
    </row>
    <row r="1057" customFormat="false" ht="15" hidden="false" customHeight="false" outlineLevel="0" collapsed="false">
      <c r="A1057" s="50" t="s">
        <v>54</v>
      </c>
      <c r="B1057" s="50" t="s">
        <v>3901</v>
      </c>
      <c r="C1057" s="50" t="s">
        <v>95</v>
      </c>
      <c r="D1057" s="50" t="n">
        <v>2</v>
      </c>
      <c r="E1057" s="50" t="s">
        <v>96</v>
      </c>
      <c r="F1057" s="50" t="s">
        <v>3902</v>
      </c>
      <c r="G1057" s="52" t="s">
        <v>3903</v>
      </c>
      <c r="H1057" s="50" t="n">
        <v>0</v>
      </c>
      <c r="I1057" s="50"/>
      <c r="K1057" s="50"/>
    </row>
    <row r="1058" customFormat="false" ht="15" hidden="false" customHeight="false" outlineLevel="0" collapsed="false">
      <c r="A1058" s="50" t="s">
        <v>71</v>
      </c>
      <c r="B1058" s="50" t="s">
        <v>3904</v>
      </c>
      <c r="C1058" s="50" t="s">
        <v>95</v>
      </c>
      <c r="D1058" s="50" t="n">
        <v>2</v>
      </c>
      <c r="E1058" s="50" t="s">
        <v>96</v>
      </c>
      <c r="F1058" s="50" t="s">
        <v>3905</v>
      </c>
      <c r="G1058" s="52" t="s">
        <v>2312</v>
      </c>
      <c r="H1058" s="50" t="n">
        <v>1</v>
      </c>
      <c r="I1058" s="50"/>
      <c r="K1058" s="50"/>
    </row>
    <row r="1059" customFormat="false" ht="15" hidden="false" customHeight="false" outlineLevel="0" collapsed="false">
      <c r="A1059" s="50" t="s">
        <v>65</v>
      </c>
      <c r="B1059" s="50" t="s">
        <v>3906</v>
      </c>
      <c r="C1059" s="50" t="s">
        <v>95</v>
      </c>
      <c r="D1059" s="50" t="n">
        <v>2</v>
      </c>
      <c r="E1059" s="50" t="s">
        <v>96</v>
      </c>
      <c r="F1059" s="50" t="s">
        <v>3907</v>
      </c>
      <c r="G1059" s="52" t="s">
        <v>3184</v>
      </c>
      <c r="H1059" s="50" t="n">
        <v>40</v>
      </c>
      <c r="I1059" s="50"/>
      <c r="K1059" s="50"/>
    </row>
    <row r="1060" customFormat="false" ht="15" hidden="false" customHeight="false" outlineLevel="0" collapsed="false">
      <c r="A1060" s="50" t="s">
        <v>66</v>
      </c>
      <c r="B1060" s="50" t="s">
        <v>3908</v>
      </c>
      <c r="C1060" s="50" t="s">
        <v>95</v>
      </c>
      <c r="D1060" s="50" t="n">
        <v>2</v>
      </c>
      <c r="E1060" s="50" t="s">
        <v>96</v>
      </c>
      <c r="F1060" s="50" t="s">
        <v>3909</v>
      </c>
      <c r="G1060" s="52" t="s">
        <v>1173</v>
      </c>
      <c r="H1060" s="50" t="n">
        <v>10</v>
      </c>
      <c r="I1060" s="50"/>
      <c r="K1060" s="50"/>
    </row>
    <row r="1061" customFormat="false" ht="15" hidden="false" customHeight="false" outlineLevel="0" collapsed="false">
      <c r="A1061" s="50" t="s">
        <v>59</v>
      </c>
      <c r="B1061" s="50" t="s">
        <v>3910</v>
      </c>
      <c r="C1061" s="50" t="s">
        <v>95</v>
      </c>
      <c r="D1061" s="50" t="n">
        <v>2</v>
      </c>
      <c r="E1061" s="50" t="s">
        <v>96</v>
      </c>
      <c r="F1061" s="50" t="s">
        <v>3911</v>
      </c>
      <c r="G1061" s="52" t="s">
        <v>3912</v>
      </c>
      <c r="H1061" s="50" t="n">
        <v>1</v>
      </c>
      <c r="I1061" s="50"/>
      <c r="K1061" s="50"/>
    </row>
    <row r="1062" customFormat="false" ht="15" hidden="false" customHeight="false" outlineLevel="0" collapsed="false">
      <c r="A1062" s="50" t="s">
        <v>60</v>
      </c>
      <c r="B1062" s="50" t="s">
        <v>3913</v>
      </c>
      <c r="C1062" s="50" t="s">
        <v>95</v>
      </c>
      <c r="D1062" s="50" t="n">
        <v>2</v>
      </c>
      <c r="E1062" s="50" t="s">
        <v>96</v>
      </c>
      <c r="F1062" s="50" t="s">
        <v>3914</v>
      </c>
      <c r="G1062" s="52" t="s">
        <v>1251</v>
      </c>
      <c r="H1062" s="50" t="n">
        <v>0</v>
      </c>
      <c r="I1062" s="50"/>
      <c r="K1062" s="50"/>
    </row>
    <row r="1063" customFormat="false" ht="15" hidden="false" customHeight="false" outlineLevel="0" collapsed="false">
      <c r="A1063" s="50" t="s">
        <v>3915</v>
      </c>
      <c r="B1063" s="50" t="s">
        <v>3916</v>
      </c>
      <c r="C1063" s="50" t="s">
        <v>238</v>
      </c>
      <c r="D1063" s="50" t="n">
        <v>2</v>
      </c>
      <c r="E1063" s="50" t="s">
        <v>96</v>
      </c>
      <c r="F1063" s="50" t="s">
        <v>3917</v>
      </c>
      <c r="G1063" s="52" t="s">
        <v>3918</v>
      </c>
      <c r="H1063" s="50" t="n">
        <v>1</v>
      </c>
      <c r="I1063" s="50"/>
      <c r="K1063" s="50"/>
    </row>
    <row r="1064" customFormat="false" ht="15" hidden="false" customHeight="false" outlineLevel="0" collapsed="false">
      <c r="A1064" s="50" t="s">
        <v>73</v>
      </c>
      <c r="B1064" s="50" t="s">
        <v>3919</v>
      </c>
      <c r="C1064" s="50" t="s">
        <v>95</v>
      </c>
      <c r="D1064" s="50" t="n">
        <v>2</v>
      </c>
      <c r="E1064" s="50" t="s">
        <v>96</v>
      </c>
      <c r="F1064" s="50" t="s">
        <v>3920</v>
      </c>
      <c r="G1064" s="52" t="s">
        <v>3921</v>
      </c>
      <c r="H1064" s="50" t="n">
        <v>20</v>
      </c>
      <c r="I1064" s="50"/>
      <c r="K1064" s="50"/>
    </row>
    <row r="1065" customFormat="false" ht="15" hidden="false" customHeight="false" outlineLevel="0" collapsed="false">
      <c r="A1065" s="50" t="s">
        <v>75</v>
      </c>
      <c r="B1065" s="50" t="s">
        <v>3922</v>
      </c>
      <c r="C1065" s="50" t="s">
        <v>95</v>
      </c>
      <c r="D1065" s="50" t="n">
        <v>15</v>
      </c>
      <c r="E1065" s="50" t="s">
        <v>113</v>
      </c>
      <c r="F1065" s="50" t="s">
        <v>3923</v>
      </c>
      <c r="G1065" s="52" t="s">
        <v>3924</v>
      </c>
      <c r="H1065" s="50" t="n">
        <v>1</v>
      </c>
      <c r="I1065" s="50"/>
      <c r="K1065" s="50"/>
    </row>
    <row r="1066" customFormat="false" ht="15" hidden="false" customHeight="false" outlineLevel="0" collapsed="false">
      <c r="A1066" s="50" t="s">
        <v>76</v>
      </c>
      <c r="B1066" s="50" t="s">
        <v>3925</v>
      </c>
      <c r="C1066" s="50" t="s">
        <v>95</v>
      </c>
      <c r="D1066" s="50" t="n">
        <v>2</v>
      </c>
      <c r="E1066" s="50" t="s">
        <v>96</v>
      </c>
      <c r="F1066" s="50" t="s">
        <v>3926</v>
      </c>
      <c r="G1066" s="52" t="s">
        <v>3918</v>
      </c>
      <c r="H1066" s="50" t="n">
        <v>1</v>
      </c>
      <c r="I1066" s="50"/>
      <c r="K1066" s="50"/>
    </row>
    <row r="1067" customFormat="false" ht="15" hidden="false" customHeight="false" outlineLevel="0" collapsed="false">
      <c r="A1067" s="50" t="s">
        <v>77</v>
      </c>
      <c r="B1067" s="50" t="s">
        <v>3927</v>
      </c>
      <c r="C1067" s="50" t="s">
        <v>95</v>
      </c>
      <c r="D1067" s="50" t="n">
        <v>2</v>
      </c>
      <c r="E1067" s="50" t="s">
        <v>96</v>
      </c>
      <c r="F1067" s="50" t="s">
        <v>3928</v>
      </c>
      <c r="G1067" s="52" t="s">
        <v>3929</v>
      </c>
      <c r="H1067" s="50" t="n">
        <v>1</v>
      </c>
      <c r="I1067" s="50"/>
      <c r="K1067" s="50"/>
    </row>
    <row r="1068" customFormat="false" ht="15" hidden="false" customHeight="false" outlineLevel="0" collapsed="false">
      <c r="A1068" s="50" t="s">
        <v>78</v>
      </c>
      <c r="B1068" s="50" t="s">
        <v>3930</v>
      </c>
      <c r="C1068" s="50" t="s">
        <v>95</v>
      </c>
      <c r="D1068" s="50" t="n">
        <v>15</v>
      </c>
      <c r="E1068" s="50" t="s">
        <v>113</v>
      </c>
      <c r="F1068" s="50" t="s">
        <v>3931</v>
      </c>
      <c r="G1068" s="52" t="s">
        <v>3932</v>
      </c>
      <c r="H1068" s="50" t="n">
        <v>1</v>
      </c>
      <c r="I1068" s="50"/>
      <c r="K1068" s="50"/>
    </row>
    <row r="1069" customFormat="false" ht="15" hidden="false" customHeight="false" outlineLevel="0" collapsed="false">
      <c r="A1069" s="50" t="s">
        <v>74</v>
      </c>
      <c r="B1069" s="50" t="s">
        <v>3933</v>
      </c>
      <c r="C1069" s="50" t="s">
        <v>95</v>
      </c>
      <c r="D1069" s="50" t="n">
        <v>2</v>
      </c>
      <c r="E1069" s="50" t="s">
        <v>96</v>
      </c>
      <c r="F1069" s="50" t="s">
        <v>3934</v>
      </c>
      <c r="G1069" s="52" t="s">
        <v>1555</v>
      </c>
      <c r="H1069" s="50" t="n">
        <v>31</v>
      </c>
      <c r="I1069" s="50"/>
      <c r="K1069" s="50"/>
    </row>
    <row r="1070" customFormat="false" ht="25.5" hidden="false" customHeight="false" outlineLevel="0" collapsed="false">
      <c r="A1070" s="50" t="s">
        <v>3935</v>
      </c>
      <c r="B1070" s="50" t="s">
        <v>3936</v>
      </c>
      <c r="C1070" s="50" t="s">
        <v>95</v>
      </c>
      <c r="D1070" s="50" t="n">
        <v>20</v>
      </c>
      <c r="E1070" s="50" t="s">
        <v>113</v>
      </c>
      <c r="F1070" s="50" t="s">
        <v>3937</v>
      </c>
      <c r="G1070" s="52" t="s">
        <v>3938</v>
      </c>
      <c r="H1070" s="50" t="n">
        <v>1</v>
      </c>
      <c r="I1070" s="50"/>
      <c r="K1070" s="50"/>
    </row>
    <row r="1071" customFormat="false" ht="25.5" hidden="false" customHeight="false" outlineLevel="0" collapsed="false">
      <c r="A1071" s="50" t="s">
        <v>3939</v>
      </c>
      <c r="B1071" s="50" t="s">
        <v>3940</v>
      </c>
      <c r="C1071" s="50" t="s">
        <v>95</v>
      </c>
      <c r="D1071" s="50" t="n">
        <v>20</v>
      </c>
      <c r="E1071" s="50" t="s">
        <v>113</v>
      </c>
      <c r="F1071" s="50" t="s">
        <v>3941</v>
      </c>
      <c r="G1071" s="52" t="s">
        <v>3938</v>
      </c>
      <c r="H1071" s="50" t="n">
        <v>1</v>
      </c>
      <c r="I1071" s="50"/>
      <c r="K1071" s="50"/>
    </row>
    <row r="1072" customFormat="false" ht="25.5" hidden="false" customHeight="false" outlineLevel="0" collapsed="false">
      <c r="A1072" s="50" t="s">
        <v>3942</v>
      </c>
      <c r="B1072" s="50" t="s">
        <v>3943</v>
      </c>
      <c r="C1072" s="50" t="s">
        <v>95</v>
      </c>
      <c r="D1072" s="50" t="n">
        <v>20</v>
      </c>
      <c r="E1072" s="50" t="s">
        <v>113</v>
      </c>
      <c r="F1072" s="50" t="s">
        <v>3944</v>
      </c>
      <c r="G1072" s="52" t="s">
        <v>3938</v>
      </c>
      <c r="H1072" s="50" t="n">
        <v>1</v>
      </c>
      <c r="I1072" s="50"/>
      <c r="K1072" s="50"/>
    </row>
    <row r="1073" customFormat="false" ht="15" hidden="false" customHeight="false" outlineLevel="0" collapsed="false">
      <c r="A1073" s="50" t="s">
        <v>3945</v>
      </c>
      <c r="B1073" s="50" t="s">
        <v>3946</v>
      </c>
      <c r="C1073" s="50" t="s">
        <v>95</v>
      </c>
      <c r="D1073" s="50" t="n">
        <v>2</v>
      </c>
      <c r="E1073" s="50" t="s">
        <v>96</v>
      </c>
      <c r="F1073" s="50" t="s">
        <v>3947</v>
      </c>
      <c r="G1073" s="52" t="s">
        <v>3948</v>
      </c>
      <c r="H1073" s="50" t="n">
        <v>1</v>
      </c>
      <c r="I1073" s="50"/>
      <c r="K1073" s="50"/>
    </row>
    <row r="1074" customFormat="false" ht="15" hidden="false" customHeight="false" outlineLevel="0" collapsed="false">
      <c r="A1074" s="50" t="s">
        <v>3949</v>
      </c>
      <c r="B1074" s="50" t="s">
        <v>3950</v>
      </c>
      <c r="C1074" s="50" t="s">
        <v>95</v>
      </c>
      <c r="D1074" s="50" t="n">
        <v>2</v>
      </c>
      <c r="E1074" s="50" t="s">
        <v>96</v>
      </c>
      <c r="F1074" s="50" t="s">
        <v>3951</v>
      </c>
      <c r="G1074" s="52" t="s">
        <v>3952</v>
      </c>
      <c r="H1074" s="50" t="n">
        <v>1</v>
      </c>
      <c r="I1074" s="50"/>
      <c r="K1074" s="50"/>
    </row>
    <row r="1075" customFormat="false" ht="15" hidden="false" customHeight="false" outlineLevel="0" collapsed="false">
      <c r="A1075" s="50" t="s">
        <v>63</v>
      </c>
      <c r="B1075" s="50" t="s">
        <v>3953</v>
      </c>
      <c r="C1075" s="50" t="s">
        <v>95</v>
      </c>
      <c r="D1075" s="50" t="n">
        <v>2</v>
      </c>
      <c r="E1075" s="50" t="s">
        <v>96</v>
      </c>
      <c r="F1075" s="50" t="s">
        <v>3954</v>
      </c>
      <c r="G1075" s="52" t="s">
        <v>3955</v>
      </c>
      <c r="H1075" s="50" t="n">
        <v>0</v>
      </c>
      <c r="I1075" s="50"/>
      <c r="K1075" s="50"/>
    </row>
    <row r="1076" customFormat="false" ht="25.5" hidden="false" customHeight="false" outlineLevel="0" collapsed="false">
      <c r="A1076" s="50" t="s">
        <v>3956</v>
      </c>
      <c r="B1076" s="50" t="s">
        <v>3957</v>
      </c>
      <c r="C1076" s="50" t="s">
        <v>95</v>
      </c>
      <c r="D1076" s="50" t="n">
        <v>10</v>
      </c>
      <c r="E1076" s="50" t="s">
        <v>113</v>
      </c>
      <c r="F1076" s="50" t="s">
        <v>3958</v>
      </c>
      <c r="G1076" s="52" t="s">
        <v>1047</v>
      </c>
      <c r="H1076" s="50" t="n">
        <v>24</v>
      </c>
      <c r="I1076" s="50"/>
      <c r="K1076" s="50"/>
    </row>
    <row r="1077" customFormat="false" ht="25.5" hidden="false" customHeight="false" outlineLevel="0" collapsed="false">
      <c r="A1077" s="50" t="s">
        <v>3959</v>
      </c>
      <c r="B1077" s="50" t="s">
        <v>3960</v>
      </c>
      <c r="C1077" s="50" t="s">
        <v>95</v>
      </c>
      <c r="D1077" s="50" t="n">
        <v>10</v>
      </c>
      <c r="E1077" s="50" t="s">
        <v>113</v>
      </c>
      <c r="F1077" s="50" t="s">
        <v>3961</v>
      </c>
      <c r="G1077" s="52" t="s">
        <v>1054</v>
      </c>
      <c r="H1077" s="50" t="n">
        <v>28</v>
      </c>
      <c r="I1077" s="50"/>
      <c r="K1077" s="50"/>
    </row>
    <row r="1078" customFormat="false" ht="15" hidden="false" customHeight="false" outlineLevel="0" collapsed="false">
      <c r="A1078" s="50" t="s">
        <v>3962</v>
      </c>
      <c r="B1078" s="50" t="s">
        <v>3963</v>
      </c>
      <c r="C1078" s="50" t="s">
        <v>95</v>
      </c>
      <c r="D1078" s="50" t="n">
        <v>2</v>
      </c>
      <c r="E1078" s="50" t="s">
        <v>96</v>
      </c>
      <c r="F1078" s="50" t="s">
        <v>3964</v>
      </c>
      <c r="G1078" s="52" t="s">
        <v>3965</v>
      </c>
      <c r="H1078" s="50" t="n">
        <v>0</v>
      </c>
      <c r="I1078" s="50"/>
      <c r="K1078" s="50"/>
    </row>
    <row r="1079" customFormat="false" ht="15" hidden="false" customHeight="false" outlineLevel="0" collapsed="false">
      <c r="A1079" s="50" t="s">
        <v>3966</v>
      </c>
      <c r="B1079" s="50" t="s">
        <v>3967</v>
      </c>
      <c r="C1079" s="50" t="s">
        <v>95</v>
      </c>
      <c r="D1079" s="50" t="n">
        <v>2</v>
      </c>
      <c r="E1079" s="50" t="s">
        <v>96</v>
      </c>
      <c r="F1079" s="50" t="s">
        <v>3968</v>
      </c>
      <c r="G1079" s="52" t="s">
        <v>3969</v>
      </c>
      <c r="H1079" s="50" t="n">
        <v>0</v>
      </c>
      <c r="I1079" s="50"/>
      <c r="K1079" s="50"/>
    </row>
    <row r="1080" customFormat="false" ht="15" hidden="false" customHeight="false" outlineLevel="0" collapsed="false">
      <c r="A1080" s="50" t="s">
        <v>3970</v>
      </c>
      <c r="B1080" s="50" t="s">
        <v>3971</v>
      </c>
      <c r="C1080" s="50" t="s">
        <v>95</v>
      </c>
      <c r="D1080" s="50" t="n">
        <v>2</v>
      </c>
      <c r="E1080" s="50" t="s">
        <v>96</v>
      </c>
      <c r="F1080" s="50" t="s">
        <v>3972</v>
      </c>
      <c r="G1080" s="52" t="s">
        <v>3973</v>
      </c>
      <c r="H1080" s="50" t="n">
        <v>0</v>
      </c>
      <c r="I1080" s="50"/>
      <c r="K1080" s="50"/>
    </row>
    <row r="1081" customFormat="false" ht="15" hidden="false" customHeight="false" outlineLevel="0" collapsed="false">
      <c r="A1081" s="50" t="s">
        <v>3974</v>
      </c>
      <c r="B1081" s="50" t="s">
        <v>3975</v>
      </c>
      <c r="C1081" s="50" t="s">
        <v>95</v>
      </c>
      <c r="D1081" s="50" t="n">
        <v>2</v>
      </c>
      <c r="E1081" s="50" t="s">
        <v>96</v>
      </c>
      <c r="F1081" s="50" t="s">
        <v>3976</v>
      </c>
      <c r="G1081" s="52" t="s">
        <v>3977</v>
      </c>
      <c r="H1081" s="50" t="n">
        <v>0</v>
      </c>
      <c r="I1081" s="50"/>
      <c r="K1081" s="50"/>
    </row>
    <row r="1082" customFormat="false" ht="15" hidden="false" customHeight="false" outlineLevel="0" collapsed="false">
      <c r="A1082" s="50" t="s">
        <v>3978</v>
      </c>
      <c r="B1082" s="50" t="s">
        <v>3979</v>
      </c>
      <c r="C1082" s="50" t="s">
        <v>95</v>
      </c>
      <c r="D1082" s="50" t="n">
        <v>2</v>
      </c>
      <c r="E1082" s="50" t="s">
        <v>96</v>
      </c>
      <c r="F1082" s="50" t="s">
        <v>3980</v>
      </c>
      <c r="G1082" s="52" t="s">
        <v>3981</v>
      </c>
      <c r="H1082" s="50" t="n">
        <v>0</v>
      </c>
      <c r="I1082" s="50"/>
      <c r="K1082" s="50"/>
    </row>
    <row r="1083" customFormat="false" ht="15" hidden="false" customHeight="false" outlineLevel="0" collapsed="false">
      <c r="A1083" s="50" t="s">
        <v>3982</v>
      </c>
      <c r="B1083" s="50" t="s">
        <v>3983</v>
      </c>
      <c r="C1083" s="50" t="s">
        <v>95</v>
      </c>
      <c r="D1083" s="50" t="n">
        <v>2</v>
      </c>
      <c r="E1083" s="50" t="s">
        <v>96</v>
      </c>
      <c r="F1083" s="50" t="s">
        <v>3984</v>
      </c>
      <c r="G1083" s="52" t="s">
        <v>3985</v>
      </c>
      <c r="H1083" s="50" t="n">
        <v>0</v>
      </c>
      <c r="I1083" s="50"/>
      <c r="K1083" s="50"/>
    </row>
    <row r="1084" customFormat="false" ht="15" hidden="false" customHeight="false" outlineLevel="0" collapsed="false">
      <c r="A1084" s="50" t="s">
        <v>3986</v>
      </c>
      <c r="B1084" s="50" t="s">
        <v>3987</v>
      </c>
      <c r="C1084" s="50" t="s">
        <v>95</v>
      </c>
      <c r="D1084" s="50" t="n">
        <v>2</v>
      </c>
      <c r="E1084" s="50" t="s">
        <v>96</v>
      </c>
      <c r="F1084" s="50" t="s">
        <v>3988</v>
      </c>
      <c r="G1084" s="52" t="s">
        <v>3989</v>
      </c>
      <c r="H1084" s="50" t="n">
        <v>0</v>
      </c>
      <c r="I1084" s="50"/>
      <c r="K1084" s="50"/>
    </row>
    <row r="1085" customFormat="false" ht="15" hidden="false" customHeight="false" outlineLevel="0" collapsed="false">
      <c r="A1085" s="50" t="s">
        <v>3990</v>
      </c>
      <c r="B1085" s="50" t="s">
        <v>3991</v>
      </c>
      <c r="C1085" s="50" t="s">
        <v>95</v>
      </c>
      <c r="D1085" s="50" t="n">
        <v>2</v>
      </c>
      <c r="E1085" s="50" t="s">
        <v>96</v>
      </c>
      <c r="F1085" s="50" t="s">
        <v>3992</v>
      </c>
      <c r="G1085" s="52" t="s">
        <v>3993</v>
      </c>
      <c r="H1085" s="50" t="n">
        <v>0</v>
      </c>
      <c r="I1085" s="50"/>
      <c r="K1085" s="50"/>
    </row>
    <row r="1086" customFormat="false" ht="15" hidden="false" customHeight="false" outlineLevel="0" collapsed="false">
      <c r="A1086" s="50" t="s">
        <v>3994</v>
      </c>
      <c r="B1086" s="50" t="s">
        <v>3995</v>
      </c>
      <c r="C1086" s="50" t="s">
        <v>95</v>
      </c>
      <c r="D1086" s="50" t="n">
        <v>2</v>
      </c>
      <c r="E1086" s="50" t="s">
        <v>96</v>
      </c>
      <c r="F1086" s="50" t="s">
        <v>3996</v>
      </c>
      <c r="G1086" s="52" t="s">
        <v>3997</v>
      </c>
      <c r="H1086" s="50" t="n">
        <v>0</v>
      </c>
      <c r="I1086" s="50"/>
      <c r="K1086" s="50"/>
    </row>
    <row r="1087" customFormat="false" ht="15" hidden="false" customHeight="false" outlineLevel="0" collapsed="false">
      <c r="A1087" s="50" t="s">
        <v>3998</v>
      </c>
      <c r="B1087" s="50" t="s">
        <v>3999</v>
      </c>
      <c r="C1087" s="50" t="s">
        <v>95</v>
      </c>
      <c r="D1087" s="50" t="n">
        <v>2</v>
      </c>
      <c r="E1087" s="50" t="s">
        <v>96</v>
      </c>
      <c r="F1087" s="50" t="s">
        <v>4000</v>
      </c>
      <c r="G1087" s="52" t="s">
        <v>4001</v>
      </c>
      <c r="H1087" s="50" t="n">
        <v>0</v>
      </c>
      <c r="I1087" s="50"/>
      <c r="K1087" s="50"/>
    </row>
    <row r="1088" customFormat="false" ht="15" hidden="false" customHeight="false" outlineLevel="0" collapsed="false">
      <c r="A1088" s="50" t="s">
        <v>4002</v>
      </c>
      <c r="B1088" s="50" t="s">
        <v>4003</v>
      </c>
      <c r="C1088" s="50" t="s">
        <v>95</v>
      </c>
      <c r="D1088" s="50" t="n">
        <v>2</v>
      </c>
      <c r="E1088" s="50" t="s">
        <v>96</v>
      </c>
      <c r="F1088" s="50" t="s">
        <v>4004</v>
      </c>
      <c r="G1088" s="52" t="s">
        <v>4005</v>
      </c>
      <c r="H1088" s="50" t="n">
        <v>0</v>
      </c>
      <c r="I1088" s="50"/>
      <c r="K1088" s="50"/>
    </row>
    <row r="1089" customFormat="false" ht="15" hidden="false" customHeight="false" outlineLevel="0" collapsed="false">
      <c r="A1089" s="50" t="s">
        <v>4006</v>
      </c>
      <c r="B1089" s="50" t="s">
        <v>4007</v>
      </c>
      <c r="C1089" s="50" t="s">
        <v>95</v>
      </c>
      <c r="D1089" s="50" t="n">
        <v>2</v>
      </c>
      <c r="E1089" s="50" t="s">
        <v>96</v>
      </c>
      <c r="F1089" s="50" t="s">
        <v>4008</v>
      </c>
      <c r="G1089" s="52" t="s">
        <v>4009</v>
      </c>
      <c r="H1089" s="50" t="n">
        <v>0</v>
      </c>
      <c r="I1089" s="50"/>
      <c r="K1089" s="50"/>
    </row>
    <row r="1090" customFormat="false" ht="15" hidden="false" customHeight="false" outlineLevel="0" collapsed="false">
      <c r="A1090" s="50" t="s">
        <v>4010</v>
      </c>
      <c r="B1090" s="50" t="s">
        <v>4011</v>
      </c>
      <c r="C1090" s="50" t="s">
        <v>95</v>
      </c>
      <c r="D1090" s="50" t="n">
        <v>2</v>
      </c>
      <c r="E1090" s="50" t="s">
        <v>96</v>
      </c>
      <c r="F1090" s="50" t="s">
        <v>4012</v>
      </c>
      <c r="G1090" s="52" t="s">
        <v>4013</v>
      </c>
      <c r="H1090" s="50" t="n">
        <v>0</v>
      </c>
      <c r="I1090" s="50"/>
      <c r="K1090" s="50"/>
    </row>
    <row r="1091" customFormat="false" ht="15" hidden="false" customHeight="false" outlineLevel="0" collapsed="false">
      <c r="A1091" s="50" t="s">
        <v>4014</v>
      </c>
      <c r="B1091" s="50" t="s">
        <v>4015</v>
      </c>
      <c r="C1091" s="50" t="s">
        <v>95</v>
      </c>
      <c r="D1091" s="50" t="n">
        <v>2</v>
      </c>
      <c r="E1091" s="50" t="s">
        <v>96</v>
      </c>
      <c r="F1091" s="50" t="s">
        <v>4016</v>
      </c>
      <c r="G1091" s="52" t="s">
        <v>4017</v>
      </c>
      <c r="H1091" s="50" t="n">
        <v>0</v>
      </c>
      <c r="I1091" s="50"/>
      <c r="K1091" s="50"/>
    </row>
    <row r="1092" customFormat="false" ht="15" hidden="false" customHeight="false" outlineLevel="0" collapsed="false">
      <c r="A1092" s="50" t="s">
        <v>4018</v>
      </c>
      <c r="B1092" s="50" t="s">
        <v>4019</v>
      </c>
      <c r="C1092" s="50" t="s">
        <v>95</v>
      </c>
      <c r="D1092" s="50" t="n">
        <v>2</v>
      </c>
      <c r="E1092" s="50" t="s">
        <v>96</v>
      </c>
      <c r="F1092" s="50" t="s">
        <v>4020</v>
      </c>
      <c r="G1092" s="52" t="s">
        <v>4021</v>
      </c>
      <c r="H1092" s="50" t="n">
        <v>0</v>
      </c>
      <c r="I1092" s="50"/>
      <c r="K1092" s="50"/>
    </row>
    <row r="1093" customFormat="false" ht="25.5" hidden="false" customHeight="false" outlineLevel="0" collapsed="false">
      <c r="A1093" s="50" t="s">
        <v>4022</v>
      </c>
      <c r="B1093" s="50" t="s">
        <v>4023</v>
      </c>
      <c r="C1093" s="50" t="s">
        <v>95</v>
      </c>
      <c r="D1093" s="50" t="n">
        <v>2</v>
      </c>
      <c r="E1093" s="50" t="s">
        <v>96</v>
      </c>
      <c r="F1093" s="50" t="s">
        <v>4024</v>
      </c>
      <c r="G1093" s="52" t="s">
        <v>3981</v>
      </c>
      <c r="H1093" s="50" t="n">
        <v>0</v>
      </c>
      <c r="I1093" s="50"/>
      <c r="K1093" s="50"/>
    </row>
    <row r="1094" customFormat="false" ht="25.5" hidden="false" customHeight="false" outlineLevel="0" collapsed="false">
      <c r="A1094" s="50" t="s">
        <v>4025</v>
      </c>
      <c r="B1094" s="50" t="s">
        <v>4026</v>
      </c>
      <c r="C1094" s="50" t="s">
        <v>95</v>
      </c>
      <c r="D1094" s="50" t="n">
        <v>2</v>
      </c>
      <c r="E1094" s="50" t="s">
        <v>96</v>
      </c>
      <c r="F1094" s="50" t="s">
        <v>4027</v>
      </c>
      <c r="G1094" s="52" t="s">
        <v>3985</v>
      </c>
      <c r="H1094" s="50" t="n">
        <v>0</v>
      </c>
      <c r="I1094" s="50"/>
      <c r="K1094" s="50"/>
    </row>
    <row r="1095" customFormat="false" ht="15" hidden="false" customHeight="false" outlineLevel="0" collapsed="false">
      <c r="A1095" s="50" t="s">
        <v>4028</v>
      </c>
      <c r="B1095" s="50" t="s">
        <v>4029</v>
      </c>
      <c r="C1095" s="50" t="s">
        <v>95</v>
      </c>
      <c r="D1095" s="50" t="n">
        <v>2</v>
      </c>
      <c r="E1095" s="50" t="s">
        <v>96</v>
      </c>
      <c r="F1095" s="50" t="s">
        <v>4030</v>
      </c>
      <c r="G1095" s="52" t="s">
        <v>4031</v>
      </c>
      <c r="H1095" s="50" t="n">
        <v>0</v>
      </c>
      <c r="I1095" s="50"/>
      <c r="K1095" s="50"/>
    </row>
    <row r="1096" customFormat="false" ht="15" hidden="false" customHeight="false" outlineLevel="0" collapsed="false">
      <c r="A1096" s="50" t="s">
        <v>4032</v>
      </c>
      <c r="B1096" s="50" t="s">
        <v>4033</v>
      </c>
      <c r="C1096" s="50" t="s">
        <v>95</v>
      </c>
      <c r="D1096" s="50" t="n">
        <v>2</v>
      </c>
      <c r="E1096" s="50" t="s">
        <v>96</v>
      </c>
      <c r="F1096" s="50" t="s">
        <v>4034</v>
      </c>
      <c r="G1096" s="52" t="s">
        <v>4035</v>
      </c>
      <c r="H1096" s="50" t="n">
        <v>0</v>
      </c>
      <c r="I1096" s="50"/>
      <c r="K1096" s="50"/>
    </row>
    <row r="1097" customFormat="false" ht="15" hidden="false" customHeight="false" outlineLevel="0" collapsed="false">
      <c r="A1097" s="50" t="s">
        <v>4036</v>
      </c>
      <c r="B1097" s="50" t="s">
        <v>4037</v>
      </c>
      <c r="C1097" s="50" t="s">
        <v>95</v>
      </c>
      <c r="D1097" s="50" t="n">
        <v>2</v>
      </c>
      <c r="E1097" s="50" t="s">
        <v>96</v>
      </c>
      <c r="F1097" s="50" t="s">
        <v>4038</v>
      </c>
      <c r="G1097" s="52" t="s">
        <v>4039</v>
      </c>
      <c r="H1097" s="50" t="n">
        <v>0</v>
      </c>
      <c r="I1097" s="50"/>
      <c r="K1097" s="5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H3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18" activeCellId="0" sqref="L18"/>
    </sheetView>
  </sheetViews>
  <sheetFormatPr defaultColWidth="8.6953125" defaultRowHeight="15" zeroHeight="false" outlineLevelRow="0" outlineLevelCol="0"/>
  <cols>
    <col collapsed="false" customWidth="true" hidden="false" outlineLevel="0" max="2" min="2" style="0" width="13.14"/>
    <col collapsed="false" customWidth="true" hidden="false" outlineLevel="0" max="3" min="3" style="0" width="13.7"/>
    <col collapsed="false" customWidth="true" hidden="false" outlineLevel="0" max="7" min="7" style="0" width="13.7"/>
  </cols>
  <sheetData>
    <row r="1" customFormat="false" ht="15.75" hidden="false" customHeight="false" outlineLevel="0" collapsed="false"/>
    <row r="2" customFormat="false" ht="18.75" hidden="false" customHeight="false" outlineLevel="0" collapsed="false">
      <c r="B2" s="9" t="s">
        <v>4040</v>
      </c>
      <c r="C2" s="9"/>
      <c r="D2" s="9"/>
      <c r="F2" s="53" t="s">
        <v>4041</v>
      </c>
      <c r="G2" s="53"/>
      <c r="H2" s="54" t="n">
        <f aca="false">ROUNDUP(33*H9,0)</f>
        <v>722</v>
      </c>
    </row>
    <row r="3" customFormat="false" ht="15.75" hidden="false" customHeight="false" outlineLevel="0" collapsed="false">
      <c r="B3" s="55" t="s">
        <v>4042</v>
      </c>
      <c r="C3" s="55"/>
      <c r="D3" s="56" t="n">
        <v>10</v>
      </c>
    </row>
    <row r="4" customFormat="false" ht="15" hidden="false" customHeight="false" outlineLevel="0" collapsed="false">
      <c r="B4" s="57" t="s">
        <v>4043</v>
      </c>
      <c r="C4" s="57"/>
      <c r="D4" s="58" t="n">
        <v>9.75</v>
      </c>
      <c r="F4" s="59" t="s">
        <v>4044</v>
      </c>
      <c r="G4" s="60"/>
      <c r="H4" s="56" t="n">
        <f aca="false">D8*D11</f>
        <v>2.1</v>
      </c>
    </row>
    <row r="5" customFormat="false" ht="15" hidden="false" customHeight="false" outlineLevel="0" collapsed="false">
      <c r="B5" s="57" t="s">
        <v>4045</v>
      </c>
      <c r="C5" s="57"/>
      <c r="D5" s="58" t="n">
        <v>0.35</v>
      </c>
      <c r="F5" s="61" t="s">
        <v>4046</v>
      </c>
      <c r="G5" s="62"/>
      <c r="H5" s="58" t="n">
        <f aca="false">SUM(E18:E317)-(H317/D3)</f>
        <v>21.6216</v>
      </c>
    </row>
    <row r="6" customFormat="false" ht="15" hidden="false" customHeight="false" outlineLevel="0" collapsed="false">
      <c r="B6" s="57" t="s">
        <v>4047</v>
      </c>
      <c r="C6" s="57"/>
      <c r="D6" s="58" t="n">
        <f aca="false">IF(Input!C25&lt;20,0.2,0.15)</f>
        <v>0.2</v>
      </c>
      <c r="F6" s="61" t="s">
        <v>4048</v>
      </c>
      <c r="G6" s="62"/>
      <c r="H6" s="58" t="n">
        <f aca="false">H5+(H4/D3)</f>
        <v>21.8316</v>
      </c>
    </row>
    <row r="7" customFormat="false" ht="15" hidden="false" customHeight="false" outlineLevel="0" collapsed="false">
      <c r="B7" s="57" t="s">
        <v>4049</v>
      </c>
      <c r="C7" s="57"/>
      <c r="D7" s="58" t="n">
        <v>2.18</v>
      </c>
      <c r="F7" s="61" t="s">
        <v>4050</v>
      </c>
      <c r="G7" s="62"/>
      <c r="H7" s="58" t="n">
        <f aca="false">INT(H6)</f>
        <v>21</v>
      </c>
    </row>
    <row r="8" customFormat="false" ht="15.75" hidden="false" customHeight="false" outlineLevel="0" collapsed="false">
      <c r="B8" s="63" t="s">
        <v>4051</v>
      </c>
      <c r="C8" s="63"/>
      <c r="D8" s="64" t="n">
        <v>0.3</v>
      </c>
      <c r="F8" s="65" t="s">
        <v>4052</v>
      </c>
      <c r="G8" s="66"/>
      <c r="H8" s="67" t="n">
        <f aca="false">ROUNDUP((((H6-H7)*D3)/D7),0)*D7</f>
        <v>8.72</v>
      </c>
    </row>
    <row r="9" customFormat="false" ht="15" hidden="false" customHeight="true" outlineLevel="0" collapsed="false">
      <c r="F9" s="53" t="s">
        <v>4053</v>
      </c>
      <c r="G9" s="53"/>
      <c r="H9" s="54" t="n">
        <f aca="false">H7+H8/D3</f>
        <v>21.872</v>
      </c>
    </row>
    <row r="10" customFormat="false" ht="18.75" hidden="false" customHeight="false" outlineLevel="0" collapsed="false">
      <c r="B10" s="9" t="s">
        <v>4054</v>
      </c>
      <c r="C10" s="9"/>
      <c r="D10" s="9"/>
    </row>
    <row r="11" customFormat="false" ht="15.75" hidden="false" customHeight="false" outlineLevel="0" collapsed="false">
      <c r="B11" s="55" t="s">
        <v>4055</v>
      </c>
      <c r="C11" s="55"/>
      <c r="D11" s="56" t="n">
        <f aca="false">Input!I13</f>
        <v>7</v>
      </c>
      <c r="F11" s="53" t="s">
        <v>4053</v>
      </c>
      <c r="G11" s="53"/>
      <c r="H11" s="54" t="n">
        <f aca="false">SUM(E18:E317)</f>
        <v>22</v>
      </c>
    </row>
    <row r="12" customFormat="false" ht="15.75" hidden="false" customHeight="false" outlineLevel="0" collapsed="false">
      <c r="B12" s="57" t="s">
        <v>4056</v>
      </c>
      <c r="C12" s="57"/>
      <c r="D12" s="58" t="n">
        <f aca="false">Input!I11/1000</f>
        <v>30.288</v>
      </c>
      <c r="F12" s="68" t="s">
        <v>4057</v>
      </c>
      <c r="G12" s="68"/>
      <c r="H12" s="69" t="n">
        <f aca="false">H317</f>
        <v>3.78399999999999</v>
      </c>
    </row>
    <row r="13" customFormat="false" ht="15.75" hidden="false" customHeight="false" outlineLevel="0" collapsed="false">
      <c r="B13" s="63" t="s">
        <v>4058</v>
      </c>
      <c r="C13" s="63"/>
      <c r="D13" s="64" t="n">
        <v>0</v>
      </c>
    </row>
    <row r="15" customFormat="false" ht="15.75" hidden="false" customHeight="false" outlineLevel="0" collapsed="false"/>
    <row r="16" customFormat="false" ht="18.75" hidden="false" customHeight="false" outlineLevel="0" collapsed="false">
      <c r="B16" s="9" t="s">
        <v>4059</v>
      </c>
      <c r="C16" s="9"/>
      <c r="D16" s="9"/>
      <c r="E16" s="9"/>
      <c r="F16" s="9"/>
      <c r="G16" s="9"/>
      <c r="H16" s="9"/>
    </row>
    <row r="17" s="70" customFormat="true" ht="30.75" hidden="false" customHeight="false" outlineLevel="0" collapsed="false">
      <c r="B17" s="71" t="s">
        <v>4060</v>
      </c>
      <c r="C17" s="72" t="s">
        <v>4061</v>
      </c>
      <c r="D17" s="72" t="s">
        <v>4062</v>
      </c>
      <c r="E17" s="72" t="s">
        <v>4053</v>
      </c>
      <c r="F17" s="72" t="s">
        <v>4063</v>
      </c>
      <c r="G17" s="72" t="s">
        <v>4064</v>
      </c>
      <c r="H17" s="73" t="s">
        <v>4065</v>
      </c>
    </row>
    <row r="18" customFormat="false" ht="15" hidden="false" customHeight="false" outlineLevel="0" collapsed="false">
      <c r="B18" s="74" t="n">
        <v>1</v>
      </c>
      <c r="C18" s="75" t="n">
        <f aca="false">IF($D$11-B18&lt;0,0,$D$12)</f>
        <v>30.288</v>
      </c>
      <c r="D18" s="75" t="n">
        <f aca="false">D13</f>
        <v>0</v>
      </c>
      <c r="E18" s="75" t="n">
        <f aca="false">ABS(IF(C18=0,0,IF(D18&gt;C18,0,ROUNDUP(((C18-$D$6-D18)/$D$4),0))))</f>
        <v>4</v>
      </c>
      <c r="F18" s="75" t="n">
        <f aca="false">IF(AND(D18=0,E18=0),E18,IF(D18=0,E18-1,E18))</f>
        <v>3</v>
      </c>
      <c r="G18" s="75" t="n">
        <f aca="false">F18*$D$6</f>
        <v>0.6</v>
      </c>
      <c r="H18" s="76" t="n">
        <f aca="false">((E18*$D$3)-G18)-C18+D18</f>
        <v>9.112</v>
      </c>
    </row>
    <row r="19" customFormat="false" ht="15" hidden="false" customHeight="false" outlineLevel="0" collapsed="false">
      <c r="B19" s="77" t="n">
        <v>2</v>
      </c>
      <c r="C19" s="78" t="n">
        <f aca="false">IF($D$11-B19&lt;0,0,$D$12)</f>
        <v>30.288</v>
      </c>
      <c r="D19" s="78" t="n">
        <f aca="false">IF(H18&lt;=$D$5,0,H18)</f>
        <v>9.112</v>
      </c>
      <c r="E19" s="78" t="n">
        <f aca="false">ABS(IF(C19=0,0,IF(D19&gt;C19,0,ROUNDUP(((C19-$D$6-D19)/$D$4),0))))</f>
        <v>3</v>
      </c>
      <c r="F19" s="78" t="n">
        <f aca="false">IF(AND(D19=0,E19=0),E19,IF(D19=0,E19-1,E19))</f>
        <v>3</v>
      </c>
      <c r="G19" s="78" t="n">
        <f aca="false">F19*$D$6</f>
        <v>0.6</v>
      </c>
      <c r="H19" s="79" t="n">
        <f aca="false">((E19*$D$3)-G19)-C19+D19</f>
        <v>8.224</v>
      </c>
    </row>
    <row r="20" customFormat="false" ht="15" hidden="false" customHeight="false" outlineLevel="0" collapsed="false">
      <c r="B20" s="77" t="n">
        <v>3</v>
      </c>
      <c r="C20" s="78" t="n">
        <f aca="false">IF($D$11-B20&lt;0,0,$D$12)</f>
        <v>30.288</v>
      </c>
      <c r="D20" s="78" t="n">
        <f aca="false">IF(H19&lt;=$D$5,0,H19)</f>
        <v>8.224</v>
      </c>
      <c r="E20" s="78" t="n">
        <f aca="false">ABS(IF(C20=0,0,IF(D20&gt;C20,0,ROUNDUP(((C20-$D$6-D20)/$D$4),0))))</f>
        <v>3</v>
      </c>
      <c r="F20" s="78" t="n">
        <f aca="false">IF(AND(D20=0,E20=0),E20,IF(D20=0,E20-1,E20))</f>
        <v>3</v>
      </c>
      <c r="G20" s="78" t="n">
        <f aca="false">F20*$D$6</f>
        <v>0.6</v>
      </c>
      <c r="H20" s="79" t="n">
        <f aca="false">((E20*$D$3)-G20)-C20+D20</f>
        <v>7.336</v>
      </c>
    </row>
    <row r="21" customFormat="false" ht="15" hidden="false" customHeight="false" outlineLevel="0" collapsed="false">
      <c r="B21" s="77" t="n">
        <v>4</v>
      </c>
      <c r="C21" s="78" t="n">
        <f aca="false">IF($D$11-B21&lt;0,0,$D$12)</f>
        <v>30.288</v>
      </c>
      <c r="D21" s="78" t="n">
        <f aca="false">IF(H20&lt;=$D$5,0,H20)</f>
        <v>7.336</v>
      </c>
      <c r="E21" s="78" t="n">
        <f aca="false">ABS(IF(C21=0,0,IF(D21&gt;C21,0,ROUNDUP(((C21-$D$6-D21)/$D$4),0))))</f>
        <v>3</v>
      </c>
      <c r="F21" s="78" t="n">
        <f aca="false">IF(AND(D21=0,E21=0),E21,IF(D21=0,E21-1,E21))</f>
        <v>3</v>
      </c>
      <c r="G21" s="78" t="n">
        <f aca="false">F21*$D$6</f>
        <v>0.6</v>
      </c>
      <c r="H21" s="79" t="n">
        <f aca="false">((E21*$D$3)-G21)-C21+D21</f>
        <v>6.44799999999999</v>
      </c>
    </row>
    <row r="22" customFormat="false" ht="15" hidden="false" customHeight="false" outlineLevel="0" collapsed="false">
      <c r="B22" s="77" t="n">
        <v>5</v>
      </c>
      <c r="C22" s="78" t="n">
        <f aca="false">IF($D$11-B22&lt;0,0,$D$12)</f>
        <v>30.288</v>
      </c>
      <c r="D22" s="78" t="n">
        <f aca="false">IF(H21&lt;=$D$5,0,H21)</f>
        <v>6.44799999999999</v>
      </c>
      <c r="E22" s="78" t="n">
        <f aca="false">ABS(IF(C22=0,0,IF(D22&gt;C22,0,ROUNDUP(((C22-$D$6-D22)/$D$4),0))))</f>
        <v>3</v>
      </c>
      <c r="F22" s="78" t="n">
        <f aca="false">IF(AND(D22=0,E22=0),E22,IF(D22=0,E22-1,E22))</f>
        <v>3</v>
      </c>
      <c r="G22" s="78" t="n">
        <f aca="false">F22*$D$6</f>
        <v>0.6</v>
      </c>
      <c r="H22" s="79" t="n">
        <f aca="false">((E22*$D$3)-G22)-C22+D22</f>
        <v>5.55999999999999</v>
      </c>
    </row>
    <row r="23" customFormat="false" ht="15" hidden="false" customHeight="false" outlineLevel="0" collapsed="false">
      <c r="B23" s="77" t="n">
        <v>6</v>
      </c>
      <c r="C23" s="78" t="n">
        <f aca="false">IF($D$11-B23&lt;0,0,$D$12)</f>
        <v>30.288</v>
      </c>
      <c r="D23" s="78" t="n">
        <f aca="false">IF(H22&lt;=$D$5,0,H22)</f>
        <v>5.55999999999999</v>
      </c>
      <c r="E23" s="78" t="n">
        <f aca="false">ABS(IF(C23=0,0,IF(D23&gt;C23,0,ROUNDUP(((C23-$D$6-D23)/$D$4),0))))</f>
        <v>3</v>
      </c>
      <c r="F23" s="78" t="n">
        <f aca="false">IF(AND(D23=0,E23=0),E23,IF(D23=0,E23-1,E23))</f>
        <v>3</v>
      </c>
      <c r="G23" s="78" t="n">
        <f aca="false">F23*$D$6</f>
        <v>0.6</v>
      </c>
      <c r="H23" s="79" t="n">
        <f aca="false">((E23*$D$3)-G23)-C23+D23</f>
        <v>4.67199999999999</v>
      </c>
    </row>
    <row r="24" customFormat="false" ht="15" hidden="false" customHeight="false" outlineLevel="0" collapsed="false">
      <c r="B24" s="77" t="n">
        <v>7</v>
      </c>
      <c r="C24" s="78" t="n">
        <f aca="false">IF($D$11-B24&lt;0,0,$D$12)</f>
        <v>30.288</v>
      </c>
      <c r="D24" s="78" t="n">
        <f aca="false">IF(H23&lt;=$D$5,0,H23)</f>
        <v>4.67199999999999</v>
      </c>
      <c r="E24" s="78" t="n">
        <f aca="false">ABS(IF(C24=0,0,IF(D24&gt;C24,0,ROUNDUP(((C24-$D$6-D24)/$D$4),0))))</f>
        <v>3</v>
      </c>
      <c r="F24" s="78" t="n">
        <f aca="false">IF(AND(D24=0,E24=0),E24,IF(D24=0,E24-1,E24))</f>
        <v>3</v>
      </c>
      <c r="G24" s="78" t="n">
        <f aca="false">F24*$D$6</f>
        <v>0.6</v>
      </c>
      <c r="H24" s="79" t="n">
        <f aca="false">((E24*$D$3)-G24)-C24+D24</f>
        <v>3.78399999999999</v>
      </c>
    </row>
    <row r="25" customFormat="false" ht="15" hidden="false" customHeight="false" outlineLevel="0" collapsed="false">
      <c r="B25" s="77" t="n">
        <v>8</v>
      </c>
      <c r="C25" s="78" t="n">
        <f aca="false">IF($D$11-B25&lt;0,0,$D$12)</f>
        <v>0</v>
      </c>
      <c r="D25" s="78" t="n">
        <f aca="false">IF(H24&lt;=$D$5,0,H24)</f>
        <v>3.78399999999999</v>
      </c>
      <c r="E25" s="78" t="n">
        <f aca="false">ABS(IF(C25=0,0,IF(D25&gt;C25,0,ROUNDUP(((C25-$D$6-D25)/$D$4),0))))</f>
        <v>0</v>
      </c>
      <c r="F25" s="78" t="n">
        <f aca="false">IF(AND(D25=0,E25=0),E25,IF(D25=0,E25-1,E25))</f>
        <v>0</v>
      </c>
      <c r="G25" s="78" t="n">
        <f aca="false">F25*$D$6</f>
        <v>0</v>
      </c>
      <c r="H25" s="79" t="n">
        <f aca="false">((E25*$D$3)-G25)-C25+D25</f>
        <v>3.78399999999999</v>
      </c>
    </row>
    <row r="26" customFormat="false" ht="15" hidden="false" customHeight="false" outlineLevel="0" collapsed="false">
      <c r="B26" s="77" t="n">
        <v>9</v>
      </c>
      <c r="C26" s="78" t="n">
        <f aca="false">IF($D$11-B26&lt;0,0,$D$12)</f>
        <v>0</v>
      </c>
      <c r="D26" s="78" t="n">
        <f aca="false">IF(H25&lt;=$D$5,0,H25)</f>
        <v>3.78399999999999</v>
      </c>
      <c r="E26" s="78" t="n">
        <f aca="false">ABS(IF(C26=0,0,IF(D26&gt;C26,0,ROUNDUP(((C26-$D$6-D26)/$D$4),0))))</f>
        <v>0</v>
      </c>
      <c r="F26" s="78" t="n">
        <f aca="false">IF(AND(D26=0,E26=0),E26,IF(D26=0,E26-1,E26))</f>
        <v>0</v>
      </c>
      <c r="G26" s="78" t="n">
        <f aca="false">F26*$D$6</f>
        <v>0</v>
      </c>
      <c r="H26" s="79" t="n">
        <f aca="false">((E26*$D$3)-G26)-C26+D26</f>
        <v>3.78399999999999</v>
      </c>
    </row>
    <row r="27" customFormat="false" ht="15" hidden="false" customHeight="false" outlineLevel="0" collapsed="false">
      <c r="B27" s="77" t="n">
        <v>10</v>
      </c>
      <c r="C27" s="78" t="n">
        <f aca="false">IF($D$11-B27&lt;0,0,$D$12)</f>
        <v>0</v>
      </c>
      <c r="D27" s="78" t="n">
        <f aca="false">IF(H26&lt;=$D$5,0,H26)</f>
        <v>3.78399999999999</v>
      </c>
      <c r="E27" s="78" t="n">
        <f aca="false">ABS(IF(C27=0,0,IF(D27&gt;C27,0,ROUNDUP(((C27-$D$6-D27)/$D$4),0))))</f>
        <v>0</v>
      </c>
      <c r="F27" s="78" t="n">
        <f aca="false">IF(AND(D27=0,E27=0),E27,IF(D27=0,E27-1,E27))</f>
        <v>0</v>
      </c>
      <c r="G27" s="78" t="n">
        <f aca="false">F27*$D$6</f>
        <v>0</v>
      </c>
      <c r="H27" s="79" t="n">
        <f aca="false">((E27*$D$3)-G27)-C27+D27</f>
        <v>3.78399999999999</v>
      </c>
    </row>
    <row r="28" customFormat="false" ht="15" hidden="false" customHeight="false" outlineLevel="0" collapsed="false">
      <c r="B28" s="77" t="n">
        <v>11</v>
      </c>
      <c r="C28" s="78" t="n">
        <f aca="false">IF($D$11-B28&lt;0,0,$D$12)</f>
        <v>0</v>
      </c>
      <c r="D28" s="78" t="n">
        <f aca="false">IF(H27&lt;=$D$5,0,H27)</f>
        <v>3.78399999999999</v>
      </c>
      <c r="E28" s="78" t="n">
        <f aca="false">ABS(IF(C28=0,0,IF(D28&gt;C28,0,ROUNDUP(((C28-$D$6-D28)/$D$4),0))))</f>
        <v>0</v>
      </c>
      <c r="F28" s="78" t="n">
        <f aca="false">IF(AND(D28=0,E28=0),E28,IF(D28=0,E28-1,E28))</f>
        <v>0</v>
      </c>
      <c r="G28" s="78" t="n">
        <f aca="false">F28*$D$6</f>
        <v>0</v>
      </c>
      <c r="H28" s="79" t="n">
        <f aca="false">((E28*$D$3)-G28)-C28+D28</f>
        <v>3.78399999999999</v>
      </c>
    </row>
    <row r="29" customFormat="false" ht="15" hidden="false" customHeight="false" outlineLevel="0" collapsed="false">
      <c r="B29" s="77" t="n">
        <v>12</v>
      </c>
      <c r="C29" s="78" t="n">
        <f aca="false">IF($D$11-B29&lt;0,0,$D$12)</f>
        <v>0</v>
      </c>
      <c r="D29" s="78" t="n">
        <f aca="false">IF(H28&lt;=$D$5,0,H28)</f>
        <v>3.78399999999999</v>
      </c>
      <c r="E29" s="78" t="n">
        <f aca="false">ABS(IF(C29=0,0,IF(D29&gt;C29,0,ROUNDUP(((C29-$D$6-D29)/$D$4),0))))</f>
        <v>0</v>
      </c>
      <c r="F29" s="78" t="n">
        <f aca="false">IF(AND(D29=0,E29=0),E29,IF(D29=0,E29-1,E29))</f>
        <v>0</v>
      </c>
      <c r="G29" s="78" t="n">
        <f aca="false">F29*$D$6</f>
        <v>0</v>
      </c>
      <c r="H29" s="79" t="n">
        <f aca="false">((E29*$D$3)-G29)-C29+D29</f>
        <v>3.78399999999999</v>
      </c>
    </row>
    <row r="30" customFormat="false" ht="15" hidden="false" customHeight="false" outlineLevel="0" collapsed="false">
      <c r="B30" s="77" t="n">
        <v>13</v>
      </c>
      <c r="C30" s="78" t="n">
        <f aca="false">IF($D$11-B30&lt;0,0,$D$12)</f>
        <v>0</v>
      </c>
      <c r="D30" s="78" t="n">
        <f aca="false">IF(H29&lt;=$D$5,0,H29)</f>
        <v>3.78399999999999</v>
      </c>
      <c r="E30" s="78" t="n">
        <f aca="false">ABS(IF(C30=0,0,IF(D30&gt;C30,0,ROUNDUP(((C30-$D$6-D30)/$D$4),0))))</f>
        <v>0</v>
      </c>
      <c r="F30" s="78" t="n">
        <f aca="false">IF(AND(D30=0,E30=0),E30,IF(D30=0,E30-1,E30))</f>
        <v>0</v>
      </c>
      <c r="G30" s="78" t="n">
        <f aca="false">F30*$D$6</f>
        <v>0</v>
      </c>
      <c r="H30" s="79" t="n">
        <f aca="false">((E30*$D$3)-G30)-C30+D30</f>
        <v>3.78399999999999</v>
      </c>
    </row>
    <row r="31" customFormat="false" ht="15" hidden="false" customHeight="false" outlineLevel="0" collapsed="false">
      <c r="B31" s="77" t="n">
        <v>14</v>
      </c>
      <c r="C31" s="78" t="n">
        <f aca="false">IF($D$11-B31&lt;0,0,$D$12)</f>
        <v>0</v>
      </c>
      <c r="D31" s="78" t="n">
        <f aca="false">IF(H30&lt;=$D$5,0,H30)</f>
        <v>3.78399999999999</v>
      </c>
      <c r="E31" s="78" t="n">
        <f aca="false">ABS(IF(C31=0,0,IF(D31&gt;C31,0,ROUNDUP(((C31-$D$6-D31)/$D$4),0))))</f>
        <v>0</v>
      </c>
      <c r="F31" s="78" t="n">
        <f aca="false">IF(AND(D31=0,E31=0),E31,IF(D31=0,E31-1,E31))</f>
        <v>0</v>
      </c>
      <c r="G31" s="78" t="n">
        <f aca="false">F31*$D$6</f>
        <v>0</v>
      </c>
      <c r="H31" s="79" t="n">
        <f aca="false">((E31*$D$3)-G31)-C31+D31</f>
        <v>3.78399999999999</v>
      </c>
    </row>
    <row r="32" customFormat="false" ht="15" hidden="false" customHeight="false" outlineLevel="0" collapsed="false">
      <c r="B32" s="77" t="n">
        <v>15</v>
      </c>
      <c r="C32" s="78" t="n">
        <f aca="false">IF($D$11-B32&lt;0,0,$D$12)</f>
        <v>0</v>
      </c>
      <c r="D32" s="78" t="n">
        <f aca="false">IF(H31&lt;=$D$5,0,H31)</f>
        <v>3.78399999999999</v>
      </c>
      <c r="E32" s="78" t="n">
        <f aca="false">ABS(IF(C32=0,0,IF(D32&gt;C32,0,ROUNDUP(((C32-$D$6-D32)/$D$4),0))))</f>
        <v>0</v>
      </c>
      <c r="F32" s="78" t="n">
        <f aca="false">IF(AND(D32=0,E32=0),E32,IF(D32=0,E32-1,E32))</f>
        <v>0</v>
      </c>
      <c r="G32" s="78" t="n">
        <f aca="false">F32*$D$6</f>
        <v>0</v>
      </c>
      <c r="H32" s="79" t="n">
        <f aca="false">((E32*$D$3)-G32)-C32+D32</f>
        <v>3.78399999999999</v>
      </c>
    </row>
    <row r="33" customFormat="false" ht="15" hidden="false" customHeight="false" outlineLevel="0" collapsed="false">
      <c r="B33" s="77" t="n">
        <v>16</v>
      </c>
      <c r="C33" s="78" t="n">
        <f aca="false">IF($D$11-B33&lt;0,0,$D$12)</f>
        <v>0</v>
      </c>
      <c r="D33" s="78" t="n">
        <f aca="false">IF(H32&lt;=$D$5,0,H32)</f>
        <v>3.78399999999999</v>
      </c>
      <c r="E33" s="78" t="n">
        <f aca="false">ABS(IF(C33=0,0,IF(D33&gt;C33,0,ROUNDUP(((C33-$D$6-D33)/$D$4),0))))</f>
        <v>0</v>
      </c>
      <c r="F33" s="78" t="n">
        <f aca="false">IF(AND(D33=0,E33=0),E33,IF(D33=0,E33-1,E33))</f>
        <v>0</v>
      </c>
      <c r="G33" s="78" t="n">
        <f aca="false">F33*$D$6</f>
        <v>0</v>
      </c>
      <c r="H33" s="79" t="n">
        <f aca="false">((E33*$D$3)-G33)-C33+D33</f>
        <v>3.78399999999999</v>
      </c>
    </row>
    <row r="34" customFormat="false" ht="15" hidden="false" customHeight="false" outlineLevel="0" collapsed="false">
      <c r="B34" s="77" t="n">
        <v>17</v>
      </c>
      <c r="C34" s="78" t="n">
        <f aca="false">IF($D$11-B34&lt;0,0,$D$12)</f>
        <v>0</v>
      </c>
      <c r="D34" s="78" t="n">
        <f aca="false">IF(H33&lt;=$D$5,0,H33)</f>
        <v>3.78399999999999</v>
      </c>
      <c r="E34" s="78" t="n">
        <f aca="false">ABS(IF(C34=0,0,IF(D34&gt;C34,0,ROUNDUP(((C34-$D$6-D34)/$D$4),0))))</f>
        <v>0</v>
      </c>
      <c r="F34" s="78" t="n">
        <f aca="false">IF(AND(D34=0,E34=0),E34,IF(D34=0,E34-1,E34))</f>
        <v>0</v>
      </c>
      <c r="G34" s="78" t="n">
        <f aca="false">F34*$D$6</f>
        <v>0</v>
      </c>
      <c r="H34" s="79" t="n">
        <f aca="false">((E34*$D$3)-G34)-C34+D34</f>
        <v>3.78399999999999</v>
      </c>
    </row>
    <row r="35" customFormat="false" ht="15" hidden="false" customHeight="false" outlineLevel="0" collapsed="false">
      <c r="B35" s="77" t="n">
        <v>18</v>
      </c>
      <c r="C35" s="78" t="n">
        <f aca="false">IF($D$11-B35&lt;0,0,$D$12)</f>
        <v>0</v>
      </c>
      <c r="D35" s="78" t="n">
        <f aca="false">IF(H34&lt;=$D$5,0,H34)</f>
        <v>3.78399999999999</v>
      </c>
      <c r="E35" s="78" t="n">
        <f aca="false">ABS(IF(C35=0,0,IF(D35&gt;C35,0,ROUNDUP(((C35-$D$6-D35)/$D$4),0))))</f>
        <v>0</v>
      </c>
      <c r="F35" s="78" t="n">
        <f aca="false">IF(AND(D35=0,E35=0),E35,IF(D35=0,E35-1,E35))</f>
        <v>0</v>
      </c>
      <c r="G35" s="78" t="n">
        <f aca="false">F35*$D$6</f>
        <v>0</v>
      </c>
      <c r="H35" s="79" t="n">
        <f aca="false">((E35*$D$3)-G35)-C35+D35</f>
        <v>3.78399999999999</v>
      </c>
    </row>
    <row r="36" customFormat="false" ht="15" hidden="false" customHeight="false" outlineLevel="0" collapsed="false">
      <c r="B36" s="77" t="n">
        <v>19</v>
      </c>
      <c r="C36" s="78" t="n">
        <f aca="false">IF($D$11-B36&lt;0,0,$D$12)</f>
        <v>0</v>
      </c>
      <c r="D36" s="78" t="n">
        <f aca="false">IF(H35&lt;=$D$5,0,H35)</f>
        <v>3.78399999999999</v>
      </c>
      <c r="E36" s="78" t="n">
        <f aca="false">ABS(IF(C36=0,0,IF(D36&gt;C36,0,ROUNDUP(((C36-$D$6-D36)/$D$4),0))))</f>
        <v>0</v>
      </c>
      <c r="F36" s="78" t="n">
        <f aca="false">IF(AND(D36=0,E36=0),E36,IF(D36=0,E36-1,E36))</f>
        <v>0</v>
      </c>
      <c r="G36" s="78" t="n">
        <f aca="false">F36*$D$6</f>
        <v>0</v>
      </c>
      <c r="H36" s="79" t="n">
        <f aca="false">((E36*$D$3)-G36)-C36+D36</f>
        <v>3.78399999999999</v>
      </c>
    </row>
    <row r="37" customFormat="false" ht="15" hidden="false" customHeight="false" outlineLevel="0" collapsed="false">
      <c r="B37" s="77" t="n">
        <v>20</v>
      </c>
      <c r="C37" s="78" t="n">
        <f aca="false">IF($D$11-B37&lt;0,0,$D$12)</f>
        <v>0</v>
      </c>
      <c r="D37" s="78" t="n">
        <f aca="false">IF(H36&lt;=$D$5,0,H36)</f>
        <v>3.78399999999999</v>
      </c>
      <c r="E37" s="78" t="n">
        <f aca="false">ABS(IF(C37=0,0,IF(D37&gt;C37,0,ROUNDUP(((C37-$D$6-D37)/$D$4),0))))</f>
        <v>0</v>
      </c>
      <c r="F37" s="78" t="n">
        <f aca="false">IF(AND(D37=0,E37=0),E37,IF(D37=0,E37-1,E37))</f>
        <v>0</v>
      </c>
      <c r="G37" s="78" t="n">
        <f aca="false">F37*$D$6</f>
        <v>0</v>
      </c>
      <c r="H37" s="79" t="n">
        <f aca="false">((E37*$D$3)-G37)-C37+D37</f>
        <v>3.78399999999999</v>
      </c>
    </row>
    <row r="38" customFormat="false" ht="15" hidden="false" customHeight="false" outlineLevel="0" collapsed="false">
      <c r="B38" s="77" t="n">
        <v>21</v>
      </c>
      <c r="C38" s="78" t="n">
        <f aca="false">IF($D$11-B38&lt;0,0,$D$12)</f>
        <v>0</v>
      </c>
      <c r="D38" s="78" t="n">
        <f aca="false">IF(H37&lt;=$D$5,0,H37)</f>
        <v>3.78399999999999</v>
      </c>
      <c r="E38" s="78" t="n">
        <f aca="false">ABS(IF(C38=0,0,IF(D38&gt;C38,0,ROUNDUP(((C38-$D$6-D38)/$D$4),0))))</f>
        <v>0</v>
      </c>
      <c r="F38" s="78" t="n">
        <f aca="false">IF(AND(D38=0,E38=0),E38,IF(D38=0,E38-1,E38))</f>
        <v>0</v>
      </c>
      <c r="G38" s="78" t="n">
        <f aca="false">F38*$D$6</f>
        <v>0</v>
      </c>
      <c r="H38" s="79" t="n">
        <f aca="false">((E38*$D$3)-G38)-C38+D38</f>
        <v>3.78399999999999</v>
      </c>
    </row>
    <row r="39" customFormat="false" ht="15" hidden="false" customHeight="false" outlineLevel="0" collapsed="false">
      <c r="B39" s="77" t="n">
        <v>22</v>
      </c>
      <c r="C39" s="78" t="n">
        <f aca="false">IF($D$11-B39&lt;0,0,$D$12)</f>
        <v>0</v>
      </c>
      <c r="D39" s="78" t="n">
        <f aca="false">IF(H38&lt;=$D$5,0,H38)</f>
        <v>3.78399999999999</v>
      </c>
      <c r="E39" s="78" t="n">
        <f aca="false">ABS(IF(C39=0,0,IF(D39&gt;C39,0,ROUNDUP(((C39-$D$6-D39)/$D$4),0))))</f>
        <v>0</v>
      </c>
      <c r="F39" s="78" t="n">
        <f aca="false">IF(AND(D39=0,E39=0),E39,IF(D39=0,E39-1,E39))</f>
        <v>0</v>
      </c>
      <c r="G39" s="78" t="n">
        <f aca="false">F39*$D$6</f>
        <v>0</v>
      </c>
      <c r="H39" s="79" t="n">
        <f aca="false">((E39*$D$3)-G39)-C39+D39</f>
        <v>3.78399999999999</v>
      </c>
    </row>
    <row r="40" customFormat="false" ht="15" hidden="false" customHeight="false" outlineLevel="0" collapsed="false">
      <c r="B40" s="77" t="n">
        <v>23</v>
      </c>
      <c r="C40" s="78" t="n">
        <f aca="false">IF($D$11-B40&lt;0,0,$D$12)</f>
        <v>0</v>
      </c>
      <c r="D40" s="78" t="n">
        <f aca="false">IF(H39&lt;=$D$5,0,H39)</f>
        <v>3.78399999999999</v>
      </c>
      <c r="E40" s="78" t="n">
        <f aca="false">ABS(IF(C40=0,0,IF(D40&gt;C40,0,ROUNDUP(((C40-$D$6-D40)/$D$4),0))))</f>
        <v>0</v>
      </c>
      <c r="F40" s="78" t="n">
        <f aca="false">IF(AND(D40=0,E40=0),E40,IF(D40=0,E40-1,E40))</f>
        <v>0</v>
      </c>
      <c r="G40" s="78" t="n">
        <f aca="false">F40*$D$6</f>
        <v>0</v>
      </c>
      <c r="H40" s="79" t="n">
        <f aca="false">((E40*$D$3)-G40)-C40+D40</f>
        <v>3.78399999999999</v>
      </c>
    </row>
    <row r="41" customFormat="false" ht="15" hidden="false" customHeight="false" outlineLevel="0" collapsed="false">
      <c r="B41" s="77" t="n">
        <v>24</v>
      </c>
      <c r="C41" s="78" t="n">
        <f aca="false">IF($D$11-B41&lt;0,0,$D$12)</f>
        <v>0</v>
      </c>
      <c r="D41" s="78" t="n">
        <f aca="false">IF(H40&lt;=$D$5,0,H40)</f>
        <v>3.78399999999999</v>
      </c>
      <c r="E41" s="78" t="n">
        <f aca="false">ABS(IF(C41=0,0,IF(D41&gt;C41,0,ROUNDUP(((C41-$D$6-D41)/$D$4),0))))</f>
        <v>0</v>
      </c>
      <c r="F41" s="78" t="n">
        <f aca="false">IF(AND(D41=0,E41=0),E41,IF(D41=0,E41-1,E41))</f>
        <v>0</v>
      </c>
      <c r="G41" s="78" t="n">
        <f aca="false">F41*$D$6</f>
        <v>0</v>
      </c>
      <c r="H41" s="79" t="n">
        <f aca="false">((E41*$D$3)-G41)-C41+D41</f>
        <v>3.78399999999999</v>
      </c>
    </row>
    <row r="42" customFormat="false" ht="15" hidden="false" customHeight="false" outlineLevel="0" collapsed="false">
      <c r="B42" s="77" t="n">
        <v>25</v>
      </c>
      <c r="C42" s="78" t="n">
        <f aca="false">IF($D$11-B42&lt;0,0,$D$12)</f>
        <v>0</v>
      </c>
      <c r="D42" s="78" t="n">
        <f aca="false">IF(H41&lt;=$D$5,0,H41)</f>
        <v>3.78399999999999</v>
      </c>
      <c r="E42" s="78" t="n">
        <f aca="false">ABS(IF(C42=0,0,IF(D42&gt;C42,0,ROUNDUP(((C42-$D$6-D42)/$D$4),0))))</f>
        <v>0</v>
      </c>
      <c r="F42" s="78" t="n">
        <f aca="false">IF(AND(D42=0,E42=0),E42,IF(D42=0,E42-1,E42))</f>
        <v>0</v>
      </c>
      <c r="G42" s="78" t="n">
        <f aca="false">F42*$D$6</f>
        <v>0</v>
      </c>
      <c r="H42" s="79" t="n">
        <f aca="false">((E42*$D$3)-G42)-C42+D42</f>
        <v>3.78399999999999</v>
      </c>
    </row>
    <row r="43" customFormat="false" ht="15" hidden="false" customHeight="false" outlineLevel="0" collapsed="false">
      <c r="B43" s="77" t="n">
        <v>26</v>
      </c>
      <c r="C43" s="78" t="n">
        <f aca="false">IF($D$11-B43&lt;0,0,$D$12)</f>
        <v>0</v>
      </c>
      <c r="D43" s="78" t="n">
        <f aca="false">IF(H42&lt;=$D$5,0,H42)</f>
        <v>3.78399999999999</v>
      </c>
      <c r="E43" s="78" t="n">
        <f aca="false">ABS(IF(C43=0,0,IF(D43&gt;C43,0,ROUNDUP(((C43-$D$6-D43)/$D$4),0))))</f>
        <v>0</v>
      </c>
      <c r="F43" s="78" t="n">
        <f aca="false">IF(AND(D43=0,E43=0),E43,IF(D43=0,E43-1,E43))</f>
        <v>0</v>
      </c>
      <c r="G43" s="78" t="n">
        <f aca="false">F43*$D$6</f>
        <v>0</v>
      </c>
      <c r="H43" s="79" t="n">
        <f aca="false">((E43*$D$3)-G43)-C43+D43</f>
        <v>3.78399999999999</v>
      </c>
    </row>
    <row r="44" customFormat="false" ht="15" hidden="false" customHeight="false" outlineLevel="0" collapsed="false">
      <c r="B44" s="77" t="n">
        <v>27</v>
      </c>
      <c r="C44" s="78" t="n">
        <f aca="false">IF($D$11-B44&lt;0,0,$D$12)</f>
        <v>0</v>
      </c>
      <c r="D44" s="78" t="n">
        <f aca="false">IF(H43&lt;=$D$5,0,H43)</f>
        <v>3.78399999999999</v>
      </c>
      <c r="E44" s="78" t="n">
        <f aca="false">ABS(IF(C44=0,0,IF(D44&gt;C44,0,ROUNDUP(((C44-$D$6-D44)/$D$4),0))))</f>
        <v>0</v>
      </c>
      <c r="F44" s="78" t="n">
        <f aca="false">IF(AND(D44=0,E44=0),E44,IF(D44=0,E44-1,E44))</f>
        <v>0</v>
      </c>
      <c r="G44" s="78" t="n">
        <f aca="false">F44*$D$6</f>
        <v>0</v>
      </c>
      <c r="H44" s="79" t="n">
        <f aca="false">((E44*$D$3)-G44)-C44+D44</f>
        <v>3.78399999999999</v>
      </c>
    </row>
    <row r="45" customFormat="false" ht="15" hidden="false" customHeight="false" outlineLevel="0" collapsed="false">
      <c r="B45" s="77" t="n">
        <v>28</v>
      </c>
      <c r="C45" s="78" t="n">
        <f aca="false">IF($D$11-B45&lt;0,0,$D$12)</f>
        <v>0</v>
      </c>
      <c r="D45" s="78" t="n">
        <f aca="false">IF(H44&lt;=$D$5,0,H44)</f>
        <v>3.78399999999999</v>
      </c>
      <c r="E45" s="78" t="n">
        <f aca="false">ABS(IF(C45=0,0,IF(D45&gt;C45,0,ROUNDUP(((C45-$D$6-D45)/$D$4),0))))</f>
        <v>0</v>
      </c>
      <c r="F45" s="78" t="n">
        <f aca="false">IF(AND(D45=0,E45=0),E45,IF(D45=0,E45-1,E45))</f>
        <v>0</v>
      </c>
      <c r="G45" s="78" t="n">
        <f aca="false">F45*$D$6</f>
        <v>0</v>
      </c>
      <c r="H45" s="79" t="n">
        <f aca="false">((E45*$D$3)-G45)-C45+D45</f>
        <v>3.78399999999999</v>
      </c>
    </row>
    <row r="46" customFormat="false" ht="15" hidden="false" customHeight="false" outlineLevel="0" collapsed="false">
      <c r="B46" s="77" t="n">
        <v>29</v>
      </c>
      <c r="C46" s="78" t="n">
        <f aca="false">IF($D$11-B46&lt;0,0,$D$12)</f>
        <v>0</v>
      </c>
      <c r="D46" s="78" t="n">
        <f aca="false">IF(H45&lt;=$D$5,0,H45)</f>
        <v>3.78399999999999</v>
      </c>
      <c r="E46" s="78" t="n">
        <f aca="false">ABS(IF(C46=0,0,IF(D46&gt;C46,0,ROUNDUP(((C46-$D$6-D46)/$D$4),0))))</f>
        <v>0</v>
      </c>
      <c r="F46" s="78" t="n">
        <f aca="false">IF(AND(D46=0,E46=0),E46,IF(D46=0,E46-1,E46))</f>
        <v>0</v>
      </c>
      <c r="G46" s="78" t="n">
        <f aca="false">F46*$D$6</f>
        <v>0</v>
      </c>
      <c r="H46" s="79" t="n">
        <f aca="false">((E46*$D$3)-G46)-C46+D46</f>
        <v>3.78399999999999</v>
      </c>
    </row>
    <row r="47" customFormat="false" ht="15" hidden="false" customHeight="false" outlineLevel="0" collapsed="false">
      <c r="B47" s="77" t="n">
        <v>30</v>
      </c>
      <c r="C47" s="78" t="n">
        <f aca="false">IF($D$11-B47&lt;0,0,$D$12)</f>
        <v>0</v>
      </c>
      <c r="D47" s="78" t="n">
        <f aca="false">IF(H46&lt;=$D$5,0,H46)</f>
        <v>3.78399999999999</v>
      </c>
      <c r="E47" s="78" t="n">
        <f aca="false">ABS(IF(C47=0,0,IF(D47&gt;C47,0,ROUNDUP(((C47-$D$6-D47)/$D$4),0))))</f>
        <v>0</v>
      </c>
      <c r="F47" s="78" t="n">
        <f aca="false">IF(AND(D47=0,E47=0),E47,IF(D47=0,E47-1,E47))</f>
        <v>0</v>
      </c>
      <c r="G47" s="78" t="n">
        <f aca="false">F47*$D$6</f>
        <v>0</v>
      </c>
      <c r="H47" s="79" t="n">
        <f aca="false">((E47*$D$3)-G47)-C47+D47</f>
        <v>3.78399999999999</v>
      </c>
    </row>
    <row r="48" customFormat="false" ht="15" hidden="false" customHeight="false" outlineLevel="0" collapsed="false">
      <c r="B48" s="77" t="n">
        <v>31</v>
      </c>
      <c r="C48" s="78" t="n">
        <f aca="false">IF($D$11-B48&lt;0,0,$D$12)</f>
        <v>0</v>
      </c>
      <c r="D48" s="78" t="n">
        <f aca="false">IF(H47&lt;=$D$5,0,H47)</f>
        <v>3.78399999999999</v>
      </c>
      <c r="E48" s="78" t="n">
        <f aca="false">ABS(IF(C48=0,0,IF(D48&gt;C48,0,ROUNDUP(((C48-$D$6-D48)/$D$4),0))))</f>
        <v>0</v>
      </c>
      <c r="F48" s="78" t="n">
        <f aca="false">IF(AND(D48=0,E48=0),E48,IF(D48=0,E48-1,E48))</f>
        <v>0</v>
      </c>
      <c r="G48" s="78" t="n">
        <f aca="false">F48*$D$6</f>
        <v>0</v>
      </c>
      <c r="H48" s="79" t="n">
        <f aca="false">((E48*$D$3)-G48)-C48+D48</f>
        <v>3.78399999999999</v>
      </c>
    </row>
    <row r="49" customFormat="false" ht="15" hidden="false" customHeight="false" outlineLevel="0" collapsed="false">
      <c r="B49" s="77" t="n">
        <v>32</v>
      </c>
      <c r="C49" s="78" t="n">
        <f aca="false">IF($D$11-B49&lt;0,0,$D$12)</f>
        <v>0</v>
      </c>
      <c r="D49" s="78" t="n">
        <f aca="false">IF(H48&lt;=$D$5,0,H48)</f>
        <v>3.78399999999999</v>
      </c>
      <c r="E49" s="78" t="n">
        <f aca="false">ABS(IF(C49=0,0,IF(D49&gt;C49,0,ROUNDUP(((C49-$D$6-D49)/$D$4),0))))</f>
        <v>0</v>
      </c>
      <c r="F49" s="78" t="n">
        <f aca="false">IF(AND(D49=0,E49=0),E49,IF(D49=0,E49-1,E49))</f>
        <v>0</v>
      </c>
      <c r="G49" s="78" t="n">
        <f aca="false">F49*$D$6</f>
        <v>0</v>
      </c>
      <c r="H49" s="79" t="n">
        <f aca="false">((E49*$D$3)-G49)-C49+D49</f>
        <v>3.78399999999999</v>
      </c>
    </row>
    <row r="50" customFormat="false" ht="15" hidden="false" customHeight="false" outlineLevel="0" collapsed="false">
      <c r="B50" s="77" t="n">
        <v>33</v>
      </c>
      <c r="C50" s="78" t="n">
        <f aca="false">IF($D$11-B50&lt;0,0,$D$12)</f>
        <v>0</v>
      </c>
      <c r="D50" s="78" t="n">
        <f aca="false">IF(H49&lt;=$D$5,0,H49)</f>
        <v>3.78399999999999</v>
      </c>
      <c r="E50" s="78" t="n">
        <f aca="false">ABS(IF(C50=0,0,IF(D50&gt;C50,0,ROUNDUP(((C50-$D$6-D50)/$D$4),0))))</f>
        <v>0</v>
      </c>
      <c r="F50" s="78" t="n">
        <f aca="false">IF(AND(D50=0,E50=0),E50,IF(D50=0,E50-1,E50))</f>
        <v>0</v>
      </c>
      <c r="G50" s="78" t="n">
        <f aca="false">F50*$D$6</f>
        <v>0</v>
      </c>
      <c r="H50" s="79" t="n">
        <f aca="false">((E50*$D$3)-G50)-C50+D50</f>
        <v>3.78399999999999</v>
      </c>
    </row>
    <row r="51" customFormat="false" ht="15" hidden="false" customHeight="false" outlineLevel="0" collapsed="false">
      <c r="B51" s="77" t="n">
        <v>34</v>
      </c>
      <c r="C51" s="78" t="n">
        <f aca="false">IF($D$11-B51&lt;0,0,$D$12)</f>
        <v>0</v>
      </c>
      <c r="D51" s="78" t="n">
        <f aca="false">IF(H50&lt;=$D$5,0,H50)</f>
        <v>3.78399999999999</v>
      </c>
      <c r="E51" s="78" t="n">
        <f aca="false">ABS(IF(C51=0,0,IF(D51&gt;C51,0,ROUNDUP(((C51-$D$6-D51)/$D$4),0))))</f>
        <v>0</v>
      </c>
      <c r="F51" s="78" t="n">
        <f aca="false">IF(AND(D51=0,E51=0),E51,IF(D51=0,E51-1,E51))</f>
        <v>0</v>
      </c>
      <c r="G51" s="78" t="n">
        <f aca="false">F51*$D$6</f>
        <v>0</v>
      </c>
      <c r="H51" s="79" t="n">
        <f aca="false">((E51*$D$3)-G51)-C51+D51</f>
        <v>3.78399999999999</v>
      </c>
    </row>
    <row r="52" customFormat="false" ht="15" hidden="false" customHeight="false" outlineLevel="0" collapsed="false">
      <c r="B52" s="77" t="n">
        <v>35</v>
      </c>
      <c r="C52" s="78" t="n">
        <f aca="false">IF($D$11-B52&lt;0,0,$D$12)</f>
        <v>0</v>
      </c>
      <c r="D52" s="78" t="n">
        <f aca="false">IF(H51&lt;=$D$5,0,H51)</f>
        <v>3.78399999999999</v>
      </c>
      <c r="E52" s="78" t="n">
        <f aca="false">ABS(IF(C52=0,0,IF(D52&gt;C52,0,ROUNDUP(((C52-$D$6-D52)/$D$4),0))))</f>
        <v>0</v>
      </c>
      <c r="F52" s="78" t="n">
        <f aca="false">IF(AND(D52=0,E52=0),E52,IF(D52=0,E52-1,E52))</f>
        <v>0</v>
      </c>
      <c r="G52" s="78" t="n">
        <f aca="false">F52*$D$6</f>
        <v>0</v>
      </c>
      <c r="H52" s="79" t="n">
        <f aca="false">((E52*$D$3)-G52)-C52+D52</f>
        <v>3.78399999999999</v>
      </c>
    </row>
    <row r="53" customFormat="false" ht="15" hidden="false" customHeight="false" outlineLevel="0" collapsed="false">
      <c r="B53" s="77" t="n">
        <v>36</v>
      </c>
      <c r="C53" s="78" t="n">
        <f aca="false">IF($D$11-B53&lt;0,0,$D$12)</f>
        <v>0</v>
      </c>
      <c r="D53" s="78" t="n">
        <f aca="false">IF(H52&lt;=$D$5,0,H52)</f>
        <v>3.78399999999999</v>
      </c>
      <c r="E53" s="78" t="n">
        <f aca="false">ABS(IF(C53=0,0,IF(D53&gt;C53,0,ROUNDUP(((C53-$D$6-D53)/$D$4),0))))</f>
        <v>0</v>
      </c>
      <c r="F53" s="78" t="n">
        <f aca="false">IF(AND(D53=0,E53=0),E53,IF(D53=0,E53-1,E53))</f>
        <v>0</v>
      </c>
      <c r="G53" s="78" t="n">
        <f aca="false">F53*$D$6</f>
        <v>0</v>
      </c>
      <c r="H53" s="79" t="n">
        <f aca="false">((E53*$D$3)-G53)-C53+D53</f>
        <v>3.78399999999999</v>
      </c>
    </row>
    <row r="54" customFormat="false" ht="15" hidden="false" customHeight="false" outlineLevel="0" collapsed="false">
      <c r="B54" s="77" t="n">
        <v>37</v>
      </c>
      <c r="C54" s="78" t="n">
        <f aca="false">IF($D$11-B54&lt;0,0,$D$12)</f>
        <v>0</v>
      </c>
      <c r="D54" s="78" t="n">
        <f aca="false">IF(H53&lt;=$D$5,0,H53)</f>
        <v>3.78399999999999</v>
      </c>
      <c r="E54" s="78" t="n">
        <f aca="false">ABS(IF(C54=0,0,IF(D54&gt;C54,0,ROUNDUP(((C54-$D$6-D54)/$D$4),0))))</f>
        <v>0</v>
      </c>
      <c r="F54" s="78" t="n">
        <f aca="false">IF(AND(D54=0,E54=0),E54,IF(D54=0,E54-1,E54))</f>
        <v>0</v>
      </c>
      <c r="G54" s="78" t="n">
        <f aca="false">F54*$D$6</f>
        <v>0</v>
      </c>
      <c r="H54" s="79" t="n">
        <f aca="false">((E54*$D$3)-G54)-C54+D54</f>
        <v>3.78399999999999</v>
      </c>
    </row>
    <row r="55" customFormat="false" ht="15" hidden="false" customHeight="false" outlineLevel="0" collapsed="false">
      <c r="B55" s="77" t="n">
        <v>38</v>
      </c>
      <c r="C55" s="78" t="n">
        <f aca="false">IF($D$11-B55&lt;0,0,$D$12)</f>
        <v>0</v>
      </c>
      <c r="D55" s="78" t="n">
        <f aca="false">IF(H54&lt;=$D$5,0,H54)</f>
        <v>3.78399999999999</v>
      </c>
      <c r="E55" s="78" t="n">
        <f aca="false">ABS(IF(C55=0,0,IF(D55&gt;C55,0,ROUNDUP(((C55-$D$6-D55)/$D$4),0))))</f>
        <v>0</v>
      </c>
      <c r="F55" s="78" t="n">
        <f aca="false">IF(AND(D55=0,E55=0),E55,IF(D55=0,E55-1,E55))</f>
        <v>0</v>
      </c>
      <c r="G55" s="78" t="n">
        <f aca="false">F55*$D$6</f>
        <v>0</v>
      </c>
      <c r="H55" s="79" t="n">
        <f aca="false">((E55*$D$3)-G55)-C55+D55</f>
        <v>3.78399999999999</v>
      </c>
    </row>
    <row r="56" customFormat="false" ht="15" hidden="false" customHeight="false" outlineLevel="0" collapsed="false">
      <c r="B56" s="77" t="n">
        <v>39</v>
      </c>
      <c r="C56" s="78" t="n">
        <f aca="false">IF($D$11-B56&lt;0,0,$D$12)</f>
        <v>0</v>
      </c>
      <c r="D56" s="78" t="n">
        <f aca="false">IF(H55&lt;=$D$5,0,H55)</f>
        <v>3.78399999999999</v>
      </c>
      <c r="E56" s="78" t="n">
        <f aca="false">ABS(IF(C56=0,0,IF(D56&gt;C56,0,ROUNDUP(((C56-$D$6-D56)/$D$4),0))))</f>
        <v>0</v>
      </c>
      <c r="F56" s="78" t="n">
        <f aca="false">IF(AND(D56=0,E56=0),E56,IF(D56=0,E56-1,E56))</f>
        <v>0</v>
      </c>
      <c r="G56" s="78" t="n">
        <f aca="false">F56*$D$6</f>
        <v>0</v>
      </c>
      <c r="H56" s="79" t="n">
        <f aca="false">((E56*$D$3)-G56)-C56+D56</f>
        <v>3.78399999999999</v>
      </c>
    </row>
    <row r="57" customFormat="false" ht="15" hidden="false" customHeight="false" outlineLevel="0" collapsed="false">
      <c r="B57" s="77" t="n">
        <v>40</v>
      </c>
      <c r="C57" s="78" t="n">
        <f aca="false">IF($D$11-B57&lt;0,0,$D$12)</f>
        <v>0</v>
      </c>
      <c r="D57" s="78" t="n">
        <f aca="false">IF(H56&lt;=$D$5,0,H56)</f>
        <v>3.78399999999999</v>
      </c>
      <c r="E57" s="78" t="n">
        <f aca="false">ABS(IF(C57=0,0,IF(D57&gt;C57,0,ROUNDUP(((C57-$D$6-D57)/$D$4),0))))</f>
        <v>0</v>
      </c>
      <c r="F57" s="78" t="n">
        <f aca="false">IF(AND(D57=0,E57=0),E57,IF(D57=0,E57-1,E57))</f>
        <v>0</v>
      </c>
      <c r="G57" s="78" t="n">
        <f aca="false">F57*$D$6</f>
        <v>0</v>
      </c>
      <c r="H57" s="79" t="n">
        <f aca="false">((E57*$D$3)-G57)-C57+D57</f>
        <v>3.78399999999999</v>
      </c>
    </row>
    <row r="58" customFormat="false" ht="15" hidden="false" customHeight="false" outlineLevel="0" collapsed="false">
      <c r="B58" s="77" t="n">
        <v>41</v>
      </c>
      <c r="C58" s="78" t="n">
        <f aca="false">IF($D$11-B58&lt;0,0,$D$12)</f>
        <v>0</v>
      </c>
      <c r="D58" s="78" t="n">
        <f aca="false">IF(H57&lt;=$D$5,0,H57)</f>
        <v>3.78399999999999</v>
      </c>
      <c r="E58" s="78" t="n">
        <f aca="false">ABS(IF(C58=0,0,IF(D58&gt;C58,0,ROUNDUP(((C58-$D$6-D58)/$D$4),0))))</f>
        <v>0</v>
      </c>
      <c r="F58" s="78" t="n">
        <f aca="false">IF(AND(D58=0,E58=0),E58,IF(D58=0,E58-1,E58))</f>
        <v>0</v>
      </c>
      <c r="G58" s="78" t="n">
        <f aca="false">F58*$D$6</f>
        <v>0</v>
      </c>
      <c r="H58" s="79" t="n">
        <f aca="false">((E58*$D$3)-G58)-C58+D58</f>
        <v>3.78399999999999</v>
      </c>
    </row>
    <row r="59" customFormat="false" ht="15" hidden="false" customHeight="false" outlineLevel="0" collapsed="false">
      <c r="B59" s="77" t="n">
        <v>42</v>
      </c>
      <c r="C59" s="78" t="n">
        <f aca="false">IF($D$11-B59&lt;0,0,$D$12)</f>
        <v>0</v>
      </c>
      <c r="D59" s="78" t="n">
        <f aca="false">IF(H58&lt;=$D$5,0,H58)</f>
        <v>3.78399999999999</v>
      </c>
      <c r="E59" s="78" t="n">
        <f aca="false">ABS(IF(C59=0,0,IF(D59&gt;C59,0,ROUNDUP(((C59-$D$6-D59)/$D$4),0))))</f>
        <v>0</v>
      </c>
      <c r="F59" s="78" t="n">
        <f aca="false">IF(AND(D59=0,E59=0),E59,IF(D59=0,E59-1,E59))</f>
        <v>0</v>
      </c>
      <c r="G59" s="78" t="n">
        <f aca="false">F59*$D$6</f>
        <v>0</v>
      </c>
      <c r="H59" s="79" t="n">
        <f aca="false">((E59*$D$3)-G59)-C59+D59</f>
        <v>3.78399999999999</v>
      </c>
    </row>
    <row r="60" customFormat="false" ht="15" hidden="false" customHeight="false" outlineLevel="0" collapsed="false">
      <c r="B60" s="77" t="n">
        <v>43</v>
      </c>
      <c r="C60" s="78" t="n">
        <f aca="false">IF($D$11-B60&lt;0,0,$D$12)</f>
        <v>0</v>
      </c>
      <c r="D60" s="78" t="n">
        <f aca="false">IF(H59&lt;=$D$5,0,H59)</f>
        <v>3.78399999999999</v>
      </c>
      <c r="E60" s="78" t="n">
        <f aca="false">ABS(IF(C60=0,0,IF(D60&gt;C60,0,ROUNDUP(((C60-$D$6-D60)/$D$4),0))))</f>
        <v>0</v>
      </c>
      <c r="F60" s="78" t="n">
        <f aca="false">IF(AND(D60=0,E60=0),E60,IF(D60=0,E60-1,E60))</f>
        <v>0</v>
      </c>
      <c r="G60" s="78" t="n">
        <f aca="false">F60*$D$6</f>
        <v>0</v>
      </c>
      <c r="H60" s="79" t="n">
        <f aca="false">((E60*$D$3)-G60)-C60+D60</f>
        <v>3.78399999999999</v>
      </c>
    </row>
    <row r="61" customFormat="false" ht="15" hidden="false" customHeight="false" outlineLevel="0" collapsed="false">
      <c r="B61" s="77" t="n">
        <v>44</v>
      </c>
      <c r="C61" s="78" t="n">
        <f aca="false">IF($D$11-B61&lt;0,0,$D$12)</f>
        <v>0</v>
      </c>
      <c r="D61" s="78" t="n">
        <f aca="false">IF(H60&lt;=$D$5,0,H60)</f>
        <v>3.78399999999999</v>
      </c>
      <c r="E61" s="78" t="n">
        <f aca="false">ABS(IF(C61=0,0,IF(D61&gt;C61,0,ROUNDUP(((C61-$D$6-D61)/$D$4),0))))</f>
        <v>0</v>
      </c>
      <c r="F61" s="78" t="n">
        <f aca="false">IF(AND(D61=0,E61=0),E61,IF(D61=0,E61-1,E61))</f>
        <v>0</v>
      </c>
      <c r="G61" s="78" t="n">
        <f aca="false">F61*$D$6</f>
        <v>0</v>
      </c>
      <c r="H61" s="79" t="n">
        <f aca="false">((E61*$D$3)-G61)-C61+D61</f>
        <v>3.78399999999999</v>
      </c>
    </row>
    <row r="62" customFormat="false" ht="15" hidden="false" customHeight="false" outlineLevel="0" collapsed="false">
      <c r="B62" s="77" t="n">
        <v>45</v>
      </c>
      <c r="C62" s="78" t="n">
        <f aca="false">IF($D$11-B62&lt;0,0,$D$12)</f>
        <v>0</v>
      </c>
      <c r="D62" s="78" t="n">
        <f aca="false">IF(H61&lt;=$D$5,0,H61)</f>
        <v>3.78399999999999</v>
      </c>
      <c r="E62" s="78" t="n">
        <f aca="false">ABS(IF(C62=0,0,IF(D62&gt;C62,0,ROUNDUP(((C62-$D$6-D62)/$D$4),0))))</f>
        <v>0</v>
      </c>
      <c r="F62" s="78" t="n">
        <f aca="false">IF(AND(D62=0,E62=0),E62,IF(D62=0,E62-1,E62))</f>
        <v>0</v>
      </c>
      <c r="G62" s="78" t="n">
        <f aca="false">F62*$D$6</f>
        <v>0</v>
      </c>
      <c r="H62" s="79" t="n">
        <f aca="false">((E62*$D$3)-G62)-C62+D62</f>
        <v>3.78399999999999</v>
      </c>
    </row>
    <row r="63" customFormat="false" ht="15" hidden="false" customHeight="false" outlineLevel="0" collapsed="false">
      <c r="B63" s="77" t="n">
        <v>46</v>
      </c>
      <c r="C63" s="78" t="n">
        <f aca="false">IF($D$11-B63&lt;0,0,$D$12)</f>
        <v>0</v>
      </c>
      <c r="D63" s="78" t="n">
        <f aca="false">IF(H62&lt;=$D$5,0,H62)</f>
        <v>3.78399999999999</v>
      </c>
      <c r="E63" s="78" t="n">
        <f aca="false">ABS(IF(C63=0,0,IF(D63&gt;C63,0,ROUNDUP(((C63-$D$6-D63)/$D$4),0))))</f>
        <v>0</v>
      </c>
      <c r="F63" s="78" t="n">
        <f aca="false">IF(AND(D63=0,E63=0),E63,IF(D63=0,E63-1,E63))</f>
        <v>0</v>
      </c>
      <c r="G63" s="78" t="n">
        <f aca="false">F63*$D$6</f>
        <v>0</v>
      </c>
      <c r="H63" s="79" t="n">
        <f aca="false">((E63*$D$3)-G63)-C63+D63</f>
        <v>3.78399999999999</v>
      </c>
    </row>
    <row r="64" customFormat="false" ht="15" hidden="false" customHeight="false" outlineLevel="0" collapsed="false">
      <c r="B64" s="77" t="n">
        <v>47</v>
      </c>
      <c r="C64" s="78" t="n">
        <f aca="false">IF($D$11-B64&lt;0,0,$D$12)</f>
        <v>0</v>
      </c>
      <c r="D64" s="78" t="n">
        <f aca="false">IF(H63&lt;=$D$5,0,H63)</f>
        <v>3.78399999999999</v>
      </c>
      <c r="E64" s="78" t="n">
        <f aca="false">ABS(IF(C64=0,0,IF(D64&gt;C64,0,ROUNDUP(((C64-$D$6-D64)/$D$4),0))))</f>
        <v>0</v>
      </c>
      <c r="F64" s="78" t="n">
        <f aca="false">IF(AND(D64=0,E64=0),E64,IF(D64=0,E64-1,E64))</f>
        <v>0</v>
      </c>
      <c r="G64" s="78" t="n">
        <f aca="false">F64*$D$6</f>
        <v>0</v>
      </c>
      <c r="H64" s="79" t="n">
        <f aca="false">((E64*$D$3)-G64)-C64+D64</f>
        <v>3.78399999999999</v>
      </c>
    </row>
    <row r="65" customFormat="false" ht="15" hidden="false" customHeight="false" outlineLevel="0" collapsed="false">
      <c r="B65" s="77" t="n">
        <v>48</v>
      </c>
      <c r="C65" s="78" t="n">
        <f aca="false">IF($D$11-B65&lt;0,0,$D$12)</f>
        <v>0</v>
      </c>
      <c r="D65" s="78" t="n">
        <f aca="false">IF(H64&lt;=$D$5,0,H64)</f>
        <v>3.78399999999999</v>
      </c>
      <c r="E65" s="78" t="n">
        <f aca="false">ABS(IF(C65=0,0,IF(D65&gt;C65,0,ROUNDUP(((C65-$D$6-D65)/$D$4),0))))</f>
        <v>0</v>
      </c>
      <c r="F65" s="78" t="n">
        <f aca="false">IF(AND(D65=0,E65=0),E65,IF(D65=0,E65-1,E65))</f>
        <v>0</v>
      </c>
      <c r="G65" s="78" t="n">
        <f aca="false">F65*$D$6</f>
        <v>0</v>
      </c>
      <c r="H65" s="79" t="n">
        <f aca="false">((E65*$D$3)-G65)-C65+D65</f>
        <v>3.78399999999999</v>
      </c>
    </row>
    <row r="66" customFormat="false" ht="15" hidden="false" customHeight="false" outlineLevel="0" collapsed="false">
      <c r="B66" s="77" t="n">
        <v>49</v>
      </c>
      <c r="C66" s="78" t="n">
        <f aca="false">IF($D$11-B66&lt;0,0,$D$12)</f>
        <v>0</v>
      </c>
      <c r="D66" s="78" t="n">
        <f aca="false">IF(H65&lt;=$D$5,0,H65)</f>
        <v>3.78399999999999</v>
      </c>
      <c r="E66" s="78" t="n">
        <f aca="false">ABS(IF(C66=0,0,IF(D66&gt;C66,0,ROUNDUP(((C66-$D$6-D66)/$D$4),0))))</f>
        <v>0</v>
      </c>
      <c r="F66" s="78" t="n">
        <f aca="false">IF(AND(D66=0,E66=0),E66,IF(D66=0,E66-1,E66))</f>
        <v>0</v>
      </c>
      <c r="G66" s="78" t="n">
        <f aca="false">F66*$D$6</f>
        <v>0</v>
      </c>
      <c r="H66" s="79" t="n">
        <f aca="false">((E66*$D$3)-G66)-C66+D66</f>
        <v>3.78399999999999</v>
      </c>
    </row>
    <row r="67" customFormat="false" ht="15" hidden="false" customHeight="false" outlineLevel="0" collapsed="false">
      <c r="B67" s="77" t="n">
        <v>50</v>
      </c>
      <c r="C67" s="78" t="n">
        <f aca="false">IF($D$11-B67&lt;0,0,$D$12)</f>
        <v>0</v>
      </c>
      <c r="D67" s="78" t="n">
        <f aca="false">IF(H66&lt;=$D$5,0,H66)</f>
        <v>3.78399999999999</v>
      </c>
      <c r="E67" s="78" t="n">
        <f aca="false">ABS(IF(C67=0,0,IF(D67&gt;C67,0,ROUNDUP(((C67-$D$6-D67)/$D$4),0))))</f>
        <v>0</v>
      </c>
      <c r="F67" s="78" t="n">
        <f aca="false">IF(AND(D67=0,E67=0),E67,IF(D67=0,E67-1,E67))</f>
        <v>0</v>
      </c>
      <c r="G67" s="78" t="n">
        <f aca="false">F67*$D$6</f>
        <v>0</v>
      </c>
      <c r="H67" s="79" t="n">
        <f aca="false">((E67*$D$3)-G67)-C67+D67</f>
        <v>3.78399999999999</v>
      </c>
    </row>
    <row r="68" customFormat="false" ht="15" hidden="false" customHeight="false" outlineLevel="0" collapsed="false">
      <c r="B68" s="77" t="n">
        <v>51</v>
      </c>
      <c r="C68" s="78" t="n">
        <f aca="false">IF($D$11-B68&lt;0,0,$D$12)</f>
        <v>0</v>
      </c>
      <c r="D68" s="78" t="n">
        <f aca="false">IF(H67&lt;=$D$5,0,H67)</f>
        <v>3.78399999999999</v>
      </c>
      <c r="E68" s="78" t="n">
        <f aca="false">ABS(IF(C68=0,0,IF(D68&gt;C68,0,ROUNDUP(((C68-$D$6-D68)/$D$4),0))))</f>
        <v>0</v>
      </c>
      <c r="F68" s="78" t="n">
        <f aca="false">IF(AND(D68=0,E68=0),E68,IF(D68=0,E68-1,E68))</f>
        <v>0</v>
      </c>
      <c r="G68" s="78" t="n">
        <f aca="false">F68*$D$6</f>
        <v>0</v>
      </c>
      <c r="H68" s="79" t="n">
        <f aca="false">((E68*$D$3)-G68)-C68+D68</f>
        <v>3.78399999999999</v>
      </c>
    </row>
    <row r="69" customFormat="false" ht="15" hidden="false" customHeight="false" outlineLevel="0" collapsed="false">
      <c r="B69" s="77" t="n">
        <v>52</v>
      </c>
      <c r="C69" s="78" t="n">
        <f aca="false">IF($D$11-B69&lt;0,0,$D$12)</f>
        <v>0</v>
      </c>
      <c r="D69" s="78" t="n">
        <f aca="false">IF(H68&lt;=$D$5,0,H68)</f>
        <v>3.78399999999999</v>
      </c>
      <c r="E69" s="78" t="n">
        <f aca="false">ABS(IF(C69=0,0,IF(D69&gt;C69,0,ROUNDUP(((C69-$D$6-D69)/$D$4),0))))</f>
        <v>0</v>
      </c>
      <c r="F69" s="78" t="n">
        <f aca="false">IF(AND(D69=0,E69=0),E69,IF(D69=0,E69-1,E69))</f>
        <v>0</v>
      </c>
      <c r="G69" s="78" t="n">
        <f aca="false">F69*$D$6</f>
        <v>0</v>
      </c>
      <c r="H69" s="79" t="n">
        <f aca="false">((E69*$D$3)-G69)-C69+D69</f>
        <v>3.78399999999999</v>
      </c>
    </row>
    <row r="70" customFormat="false" ht="15" hidden="false" customHeight="false" outlineLevel="0" collapsed="false">
      <c r="B70" s="77" t="n">
        <v>53</v>
      </c>
      <c r="C70" s="78" t="n">
        <f aca="false">IF($D$11-B70&lt;0,0,$D$12)</f>
        <v>0</v>
      </c>
      <c r="D70" s="78" t="n">
        <f aca="false">IF(H69&lt;=$D$5,0,H69)</f>
        <v>3.78399999999999</v>
      </c>
      <c r="E70" s="78" t="n">
        <f aca="false">ABS(IF(C70=0,0,IF(D70&gt;C70,0,ROUNDUP(((C70-$D$6-D70)/$D$4),0))))</f>
        <v>0</v>
      </c>
      <c r="F70" s="78" t="n">
        <f aca="false">IF(AND(D70=0,E70=0),E70,IF(D70=0,E70-1,E70))</f>
        <v>0</v>
      </c>
      <c r="G70" s="78" t="n">
        <f aca="false">F70*$D$6</f>
        <v>0</v>
      </c>
      <c r="H70" s="79" t="n">
        <f aca="false">((E70*$D$3)-G70)-C70+D70</f>
        <v>3.78399999999999</v>
      </c>
    </row>
    <row r="71" customFormat="false" ht="15" hidden="false" customHeight="false" outlineLevel="0" collapsed="false">
      <c r="B71" s="77" t="n">
        <v>54</v>
      </c>
      <c r="C71" s="78" t="n">
        <f aca="false">IF($D$11-B71&lt;0,0,$D$12)</f>
        <v>0</v>
      </c>
      <c r="D71" s="78" t="n">
        <f aca="false">IF(H70&lt;=$D$5,0,H70)</f>
        <v>3.78399999999999</v>
      </c>
      <c r="E71" s="78" t="n">
        <f aca="false">ABS(IF(C71=0,0,IF(D71&gt;C71,0,ROUNDUP(((C71-$D$6-D71)/$D$4),0))))</f>
        <v>0</v>
      </c>
      <c r="F71" s="78" t="n">
        <f aca="false">IF(AND(D71=0,E71=0),E71,IF(D71=0,E71-1,E71))</f>
        <v>0</v>
      </c>
      <c r="G71" s="78" t="n">
        <f aca="false">F71*$D$6</f>
        <v>0</v>
      </c>
      <c r="H71" s="79" t="n">
        <f aca="false">((E71*$D$3)-G71)-C71+D71</f>
        <v>3.78399999999999</v>
      </c>
    </row>
    <row r="72" customFormat="false" ht="15" hidden="false" customHeight="false" outlineLevel="0" collapsed="false">
      <c r="B72" s="77" t="n">
        <v>55</v>
      </c>
      <c r="C72" s="78" t="n">
        <f aca="false">IF($D$11-B72&lt;0,0,$D$12)</f>
        <v>0</v>
      </c>
      <c r="D72" s="78" t="n">
        <f aca="false">IF(H71&lt;=$D$5,0,H71)</f>
        <v>3.78399999999999</v>
      </c>
      <c r="E72" s="78" t="n">
        <f aca="false">ABS(IF(C72=0,0,IF(D72&gt;C72,0,ROUNDUP(((C72-$D$6-D72)/$D$4),0))))</f>
        <v>0</v>
      </c>
      <c r="F72" s="78" t="n">
        <f aca="false">IF(AND(D72=0,E72=0),E72,IF(D72=0,E72-1,E72))</f>
        <v>0</v>
      </c>
      <c r="G72" s="78" t="n">
        <f aca="false">F72*$D$6</f>
        <v>0</v>
      </c>
      <c r="H72" s="79" t="n">
        <f aca="false">((E72*$D$3)-G72)-C72+D72</f>
        <v>3.78399999999999</v>
      </c>
    </row>
    <row r="73" customFormat="false" ht="15" hidden="false" customHeight="false" outlineLevel="0" collapsed="false">
      <c r="B73" s="77" t="n">
        <v>56</v>
      </c>
      <c r="C73" s="78" t="n">
        <f aca="false">IF($D$11-B73&lt;0,0,$D$12)</f>
        <v>0</v>
      </c>
      <c r="D73" s="78" t="n">
        <f aca="false">IF(H72&lt;=$D$5,0,H72)</f>
        <v>3.78399999999999</v>
      </c>
      <c r="E73" s="78" t="n">
        <f aca="false">ABS(IF(C73=0,0,IF(D73&gt;C73,0,ROUNDUP(((C73-$D$6-D73)/$D$4),0))))</f>
        <v>0</v>
      </c>
      <c r="F73" s="78" t="n">
        <f aca="false">IF(AND(D73=0,E73=0),E73,IF(D73=0,E73-1,E73))</f>
        <v>0</v>
      </c>
      <c r="G73" s="78" t="n">
        <f aca="false">F73*$D$6</f>
        <v>0</v>
      </c>
      <c r="H73" s="79" t="n">
        <f aca="false">((E73*$D$3)-G73)-C73+D73</f>
        <v>3.78399999999999</v>
      </c>
    </row>
    <row r="74" customFormat="false" ht="15" hidden="false" customHeight="false" outlineLevel="0" collapsed="false">
      <c r="B74" s="77" t="n">
        <v>57</v>
      </c>
      <c r="C74" s="78" t="n">
        <f aca="false">IF($D$11-B74&lt;0,0,$D$12)</f>
        <v>0</v>
      </c>
      <c r="D74" s="78" t="n">
        <f aca="false">IF(H73&lt;=$D$5,0,H73)</f>
        <v>3.78399999999999</v>
      </c>
      <c r="E74" s="78" t="n">
        <f aca="false">ABS(IF(C74=0,0,IF(D74&gt;C74,0,ROUNDUP(((C74-$D$6-D74)/$D$4),0))))</f>
        <v>0</v>
      </c>
      <c r="F74" s="78" t="n">
        <f aca="false">IF(AND(D74=0,E74=0),E74,IF(D74=0,E74-1,E74))</f>
        <v>0</v>
      </c>
      <c r="G74" s="78" t="n">
        <f aca="false">F74*$D$6</f>
        <v>0</v>
      </c>
      <c r="H74" s="79" t="n">
        <f aca="false">((E74*$D$3)-G74)-C74+D74</f>
        <v>3.78399999999999</v>
      </c>
    </row>
    <row r="75" customFormat="false" ht="15" hidden="false" customHeight="false" outlineLevel="0" collapsed="false">
      <c r="B75" s="77" t="n">
        <v>58</v>
      </c>
      <c r="C75" s="78" t="n">
        <f aca="false">IF($D$11-B75&lt;0,0,$D$12)</f>
        <v>0</v>
      </c>
      <c r="D75" s="78" t="n">
        <f aca="false">IF(H74&lt;=$D$5,0,H74)</f>
        <v>3.78399999999999</v>
      </c>
      <c r="E75" s="78" t="n">
        <f aca="false">ABS(IF(C75=0,0,IF(D75&gt;C75,0,ROUNDUP(((C75-$D$6-D75)/$D$4),0))))</f>
        <v>0</v>
      </c>
      <c r="F75" s="78" t="n">
        <f aca="false">IF(AND(D75=0,E75=0),E75,IF(D75=0,E75-1,E75))</f>
        <v>0</v>
      </c>
      <c r="G75" s="78" t="n">
        <f aca="false">F75*$D$6</f>
        <v>0</v>
      </c>
      <c r="H75" s="79" t="n">
        <f aca="false">((E75*$D$3)-G75)-C75+D75</f>
        <v>3.78399999999999</v>
      </c>
    </row>
    <row r="76" customFormat="false" ht="15" hidden="false" customHeight="false" outlineLevel="0" collapsed="false">
      <c r="B76" s="77" t="n">
        <v>59</v>
      </c>
      <c r="C76" s="78" t="n">
        <f aca="false">IF($D$11-B76&lt;0,0,$D$12)</f>
        <v>0</v>
      </c>
      <c r="D76" s="78" t="n">
        <f aca="false">IF(H75&lt;=$D$5,0,H75)</f>
        <v>3.78399999999999</v>
      </c>
      <c r="E76" s="78" t="n">
        <f aca="false">ABS(IF(C76=0,0,IF(D76&gt;C76,0,ROUNDUP(((C76-$D$6-D76)/$D$4),0))))</f>
        <v>0</v>
      </c>
      <c r="F76" s="78" t="n">
        <f aca="false">IF(AND(D76=0,E76=0),E76,IF(D76=0,E76-1,E76))</f>
        <v>0</v>
      </c>
      <c r="G76" s="78" t="n">
        <f aca="false">F76*$D$6</f>
        <v>0</v>
      </c>
      <c r="H76" s="79" t="n">
        <f aca="false">((E76*$D$3)-G76)-C76+D76</f>
        <v>3.78399999999999</v>
      </c>
    </row>
    <row r="77" customFormat="false" ht="15" hidden="false" customHeight="false" outlineLevel="0" collapsed="false">
      <c r="B77" s="77" t="n">
        <v>60</v>
      </c>
      <c r="C77" s="78" t="n">
        <f aca="false">IF($D$11-B77&lt;0,0,$D$12)</f>
        <v>0</v>
      </c>
      <c r="D77" s="78" t="n">
        <f aca="false">IF(H76&lt;=$D$5,0,H76)</f>
        <v>3.78399999999999</v>
      </c>
      <c r="E77" s="78" t="n">
        <f aca="false">ABS(IF(C77=0,0,IF(D77&gt;C77,0,ROUNDUP(((C77-$D$6-D77)/$D$4),0))))</f>
        <v>0</v>
      </c>
      <c r="F77" s="78" t="n">
        <f aca="false">IF(AND(D77=0,E77=0),E77,IF(D77=0,E77-1,E77))</f>
        <v>0</v>
      </c>
      <c r="G77" s="78" t="n">
        <f aca="false">F77*$D$6</f>
        <v>0</v>
      </c>
      <c r="H77" s="79" t="n">
        <f aca="false">((E77*$D$3)-G77)-C77+D77</f>
        <v>3.78399999999999</v>
      </c>
    </row>
    <row r="78" customFormat="false" ht="15" hidden="false" customHeight="false" outlineLevel="0" collapsed="false">
      <c r="B78" s="77" t="n">
        <v>61</v>
      </c>
      <c r="C78" s="78" t="n">
        <f aca="false">IF($D$11-B78&lt;0,0,$D$12)</f>
        <v>0</v>
      </c>
      <c r="D78" s="78" t="n">
        <f aca="false">IF(H77&lt;=$D$5,0,H77)</f>
        <v>3.78399999999999</v>
      </c>
      <c r="E78" s="78" t="n">
        <f aca="false">ABS(IF(C78=0,0,IF(D78&gt;C78,0,ROUNDUP(((C78-$D$6-D78)/$D$4),0))))</f>
        <v>0</v>
      </c>
      <c r="F78" s="78" t="n">
        <f aca="false">IF(AND(D78=0,E78=0),E78,IF(D78=0,E78-1,E78))</f>
        <v>0</v>
      </c>
      <c r="G78" s="78" t="n">
        <f aca="false">F78*$D$6</f>
        <v>0</v>
      </c>
      <c r="H78" s="79" t="n">
        <f aca="false">((E78*$D$3)-G78)-C78+D78</f>
        <v>3.78399999999999</v>
      </c>
    </row>
    <row r="79" customFormat="false" ht="15" hidden="false" customHeight="false" outlineLevel="0" collapsed="false">
      <c r="B79" s="77" t="n">
        <v>62</v>
      </c>
      <c r="C79" s="78" t="n">
        <f aca="false">IF($D$11-B79&lt;0,0,$D$12)</f>
        <v>0</v>
      </c>
      <c r="D79" s="78" t="n">
        <f aca="false">IF(H78&lt;=$D$5,0,H78)</f>
        <v>3.78399999999999</v>
      </c>
      <c r="E79" s="78" t="n">
        <f aca="false">ABS(IF(C79=0,0,IF(D79&gt;C79,0,ROUNDUP(((C79-$D$6-D79)/$D$4),0))))</f>
        <v>0</v>
      </c>
      <c r="F79" s="78" t="n">
        <f aca="false">IF(AND(D79=0,E79=0),E79,IF(D79=0,E79-1,E79))</f>
        <v>0</v>
      </c>
      <c r="G79" s="78" t="n">
        <f aca="false">F79*$D$6</f>
        <v>0</v>
      </c>
      <c r="H79" s="79" t="n">
        <f aca="false">((E79*$D$3)-G79)-C79+D79</f>
        <v>3.78399999999999</v>
      </c>
    </row>
    <row r="80" customFormat="false" ht="15" hidden="false" customHeight="false" outlineLevel="0" collapsed="false">
      <c r="B80" s="77" t="n">
        <v>63</v>
      </c>
      <c r="C80" s="78" t="n">
        <f aca="false">IF($D$11-B80&lt;0,0,$D$12)</f>
        <v>0</v>
      </c>
      <c r="D80" s="78" t="n">
        <f aca="false">IF(H79&lt;=$D$5,0,H79)</f>
        <v>3.78399999999999</v>
      </c>
      <c r="E80" s="78" t="n">
        <f aca="false">ABS(IF(C80=0,0,IF(D80&gt;C80,0,ROUNDUP(((C80-$D$6-D80)/$D$4),0))))</f>
        <v>0</v>
      </c>
      <c r="F80" s="78" t="n">
        <f aca="false">IF(AND(D80=0,E80=0),E80,IF(D80=0,E80-1,E80))</f>
        <v>0</v>
      </c>
      <c r="G80" s="78" t="n">
        <f aca="false">F80*$D$6</f>
        <v>0</v>
      </c>
      <c r="H80" s="79" t="n">
        <f aca="false">((E80*$D$3)-G80)-C80+D80</f>
        <v>3.78399999999999</v>
      </c>
    </row>
    <row r="81" customFormat="false" ht="15" hidden="false" customHeight="false" outlineLevel="0" collapsed="false">
      <c r="B81" s="77" t="n">
        <v>64</v>
      </c>
      <c r="C81" s="78" t="n">
        <f aca="false">IF($D$11-B81&lt;0,0,$D$12)</f>
        <v>0</v>
      </c>
      <c r="D81" s="78" t="n">
        <f aca="false">IF(H80&lt;=$D$5,0,H80)</f>
        <v>3.78399999999999</v>
      </c>
      <c r="E81" s="78" t="n">
        <f aca="false">ABS(IF(C81=0,0,IF(D81&gt;C81,0,ROUNDUP(((C81-$D$6-D81)/$D$4),0))))</f>
        <v>0</v>
      </c>
      <c r="F81" s="78" t="n">
        <f aca="false">IF(AND(D81=0,E81=0),E81,IF(D81=0,E81-1,E81))</f>
        <v>0</v>
      </c>
      <c r="G81" s="78" t="n">
        <f aca="false">F81*$D$6</f>
        <v>0</v>
      </c>
      <c r="H81" s="79" t="n">
        <f aca="false">((E81*$D$3)-G81)-C81+D81</f>
        <v>3.78399999999999</v>
      </c>
    </row>
    <row r="82" customFormat="false" ht="15" hidden="false" customHeight="false" outlineLevel="0" collapsed="false">
      <c r="B82" s="77" t="n">
        <v>65</v>
      </c>
      <c r="C82" s="78" t="n">
        <f aca="false">IF($D$11-B82&lt;0,0,$D$12)</f>
        <v>0</v>
      </c>
      <c r="D82" s="78" t="n">
        <f aca="false">IF(H81&lt;=$D$5,0,H81)</f>
        <v>3.78399999999999</v>
      </c>
      <c r="E82" s="78" t="n">
        <f aca="false">ABS(IF(C82=0,0,IF(D82&gt;C82,0,ROUNDUP(((C82-$D$6-D82)/$D$4),0))))</f>
        <v>0</v>
      </c>
      <c r="F82" s="78" t="n">
        <f aca="false">IF(AND(D82=0,E82=0),E82,IF(D82=0,E82-1,E82))</f>
        <v>0</v>
      </c>
      <c r="G82" s="78" t="n">
        <f aca="false">F82*$D$6</f>
        <v>0</v>
      </c>
      <c r="H82" s="79" t="n">
        <f aca="false">((E82*$D$3)-G82)-C82+D82</f>
        <v>3.78399999999999</v>
      </c>
    </row>
    <row r="83" customFormat="false" ht="15" hidden="false" customHeight="false" outlineLevel="0" collapsed="false">
      <c r="B83" s="77" t="n">
        <v>66</v>
      </c>
      <c r="C83" s="78" t="n">
        <f aca="false">IF($D$11-B83&lt;0,0,$D$12)</f>
        <v>0</v>
      </c>
      <c r="D83" s="78" t="n">
        <f aca="false">IF(H82&lt;=$D$5,0,H82)</f>
        <v>3.78399999999999</v>
      </c>
      <c r="E83" s="78" t="n">
        <f aca="false">ABS(IF(C83=0,0,IF(D83&gt;C83,0,ROUNDUP(((C83-$D$6-D83)/$D$4),0))))</f>
        <v>0</v>
      </c>
      <c r="F83" s="78" t="n">
        <f aca="false">IF(AND(D83=0,E83=0),E83,IF(D83=0,E83-1,E83))</f>
        <v>0</v>
      </c>
      <c r="G83" s="78" t="n">
        <f aca="false">F83*$D$6</f>
        <v>0</v>
      </c>
      <c r="H83" s="79" t="n">
        <f aca="false">((E83*$D$3)-G83)-C83+D83</f>
        <v>3.78399999999999</v>
      </c>
    </row>
    <row r="84" customFormat="false" ht="15" hidden="false" customHeight="false" outlineLevel="0" collapsed="false">
      <c r="B84" s="77" t="n">
        <v>67</v>
      </c>
      <c r="C84" s="78" t="n">
        <f aca="false">IF($D$11-B84&lt;0,0,$D$12)</f>
        <v>0</v>
      </c>
      <c r="D84" s="78" t="n">
        <f aca="false">IF(H83&lt;=$D$5,0,H83)</f>
        <v>3.78399999999999</v>
      </c>
      <c r="E84" s="78" t="n">
        <f aca="false">ABS(IF(C84=0,0,IF(D84&gt;C84,0,ROUNDUP(((C84-$D$6-D84)/$D$4),0))))</f>
        <v>0</v>
      </c>
      <c r="F84" s="78" t="n">
        <f aca="false">IF(AND(D84=0,E84=0),E84,IF(D84=0,E84-1,E84))</f>
        <v>0</v>
      </c>
      <c r="G84" s="78" t="n">
        <f aca="false">F84*$D$6</f>
        <v>0</v>
      </c>
      <c r="H84" s="79" t="n">
        <f aca="false">((E84*$D$3)-G84)-C84+D84</f>
        <v>3.78399999999999</v>
      </c>
    </row>
    <row r="85" customFormat="false" ht="15" hidden="false" customHeight="false" outlineLevel="0" collapsed="false">
      <c r="B85" s="77" t="n">
        <v>68</v>
      </c>
      <c r="C85" s="78" t="n">
        <f aca="false">IF($D$11-B85&lt;0,0,$D$12)</f>
        <v>0</v>
      </c>
      <c r="D85" s="78" t="n">
        <f aca="false">IF(H84&lt;=$D$5,0,H84)</f>
        <v>3.78399999999999</v>
      </c>
      <c r="E85" s="78" t="n">
        <f aca="false">ABS(IF(C85=0,0,IF(D85&gt;C85,0,ROUNDUP(((C85-$D$6-D85)/$D$4),0))))</f>
        <v>0</v>
      </c>
      <c r="F85" s="78" t="n">
        <f aca="false">IF(AND(D85=0,E85=0),E85,IF(D85=0,E85-1,E85))</f>
        <v>0</v>
      </c>
      <c r="G85" s="78" t="n">
        <f aca="false">F85*$D$6</f>
        <v>0</v>
      </c>
      <c r="H85" s="79" t="n">
        <f aca="false">((E85*$D$3)-G85)-C85+D85</f>
        <v>3.78399999999999</v>
      </c>
    </row>
    <row r="86" customFormat="false" ht="15" hidden="false" customHeight="false" outlineLevel="0" collapsed="false">
      <c r="B86" s="77" t="n">
        <v>69</v>
      </c>
      <c r="C86" s="78" t="n">
        <f aca="false">IF($D$11-B86&lt;0,0,$D$12)</f>
        <v>0</v>
      </c>
      <c r="D86" s="78" t="n">
        <f aca="false">IF(H85&lt;=$D$5,0,H85)</f>
        <v>3.78399999999999</v>
      </c>
      <c r="E86" s="78" t="n">
        <f aca="false">ABS(IF(C86=0,0,IF(D86&gt;C86,0,ROUNDUP(((C86-$D$6-D86)/$D$4),0))))</f>
        <v>0</v>
      </c>
      <c r="F86" s="78" t="n">
        <f aca="false">IF(AND(D86=0,E86=0),E86,IF(D86=0,E86-1,E86))</f>
        <v>0</v>
      </c>
      <c r="G86" s="78" t="n">
        <f aca="false">F86*$D$6</f>
        <v>0</v>
      </c>
      <c r="H86" s="79" t="n">
        <f aca="false">((E86*$D$3)-G86)-C86+D86</f>
        <v>3.78399999999999</v>
      </c>
    </row>
    <row r="87" customFormat="false" ht="15" hidden="false" customHeight="false" outlineLevel="0" collapsed="false">
      <c r="B87" s="77" t="n">
        <v>70</v>
      </c>
      <c r="C87" s="78" t="n">
        <f aca="false">IF($D$11-B87&lt;0,0,$D$12)</f>
        <v>0</v>
      </c>
      <c r="D87" s="78" t="n">
        <f aca="false">IF(H86&lt;=$D$5,0,H86)</f>
        <v>3.78399999999999</v>
      </c>
      <c r="E87" s="78" t="n">
        <f aca="false">ABS(IF(C87=0,0,IF(D87&gt;C87,0,ROUNDUP(((C87-$D$6-D87)/$D$4),0))))</f>
        <v>0</v>
      </c>
      <c r="F87" s="78" t="n">
        <f aca="false">IF(AND(D87=0,E87=0),E87,IF(D87=0,E87-1,E87))</f>
        <v>0</v>
      </c>
      <c r="G87" s="78" t="n">
        <f aca="false">F87*$D$6</f>
        <v>0</v>
      </c>
      <c r="H87" s="79" t="n">
        <f aca="false">((E87*$D$3)-G87)-C87+D87</f>
        <v>3.78399999999999</v>
      </c>
    </row>
    <row r="88" customFormat="false" ht="15" hidden="false" customHeight="false" outlineLevel="0" collapsed="false">
      <c r="B88" s="77" t="n">
        <v>71</v>
      </c>
      <c r="C88" s="78" t="n">
        <f aca="false">IF($D$11-B88&lt;0,0,$D$12)</f>
        <v>0</v>
      </c>
      <c r="D88" s="78" t="n">
        <f aca="false">IF(H87&lt;=$D$5,0,H87)</f>
        <v>3.78399999999999</v>
      </c>
      <c r="E88" s="78" t="n">
        <f aca="false">ABS(IF(C88=0,0,IF(D88&gt;C88,0,ROUNDUP(((C88-$D$6-D88)/$D$4),0))))</f>
        <v>0</v>
      </c>
      <c r="F88" s="78" t="n">
        <f aca="false">IF(AND(D88=0,E88=0),E88,IF(D88=0,E88-1,E88))</f>
        <v>0</v>
      </c>
      <c r="G88" s="78" t="n">
        <f aca="false">F88*$D$6</f>
        <v>0</v>
      </c>
      <c r="H88" s="79" t="n">
        <f aca="false">((E88*$D$3)-G88)-C88+D88</f>
        <v>3.78399999999999</v>
      </c>
    </row>
    <row r="89" customFormat="false" ht="15" hidden="false" customHeight="false" outlineLevel="0" collapsed="false">
      <c r="B89" s="77" t="n">
        <v>72</v>
      </c>
      <c r="C89" s="78" t="n">
        <f aca="false">IF($D$11-B89&lt;0,0,$D$12)</f>
        <v>0</v>
      </c>
      <c r="D89" s="78" t="n">
        <f aca="false">IF(H88&lt;=$D$5,0,H88)</f>
        <v>3.78399999999999</v>
      </c>
      <c r="E89" s="78" t="n">
        <f aca="false">ABS(IF(C89=0,0,IF(D89&gt;C89,0,ROUNDUP(((C89-$D$6-D89)/$D$4),0))))</f>
        <v>0</v>
      </c>
      <c r="F89" s="78" t="n">
        <f aca="false">IF(AND(D89=0,E89=0),E89,IF(D89=0,E89-1,E89))</f>
        <v>0</v>
      </c>
      <c r="G89" s="78" t="n">
        <f aca="false">F89*$D$6</f>
        <v>0</v>
      </c>
      <c r="H89" s="79" t="n">
        <f aca="false">((E89*$D$3)-G89)-C89+D89</f>
        <v>3.78399999999999</v>
      </c>
    </row>
    <row r="90" customFormat="false" ht="15" hidden="false" customHeight="false" outlineLevel="0" collapsed="false">
      <c r="B90" s="77" t="n">
        <v>73</v>
      </c>
      <c r="C90" s="78" t="n">
        <f aca="false">IF($D$11-B90&lt;0,0,$D$12)</f>
        <v>0</v>
      </c>
      <c r="D90" s="78" t="n">
        <f aca="false">IF(H89&lt;=$D$5,0,H89)</f>
        <v>3.78399999999999</v>
      </c>
      <c r="E90" s="78" t="n">
        <f aca="false">ABS(IF(C90=0,0,IF(D90&gt;C90,0,ROUNDUP(((C90-$D$6-D90)/$D$4),0))))</f>
        <v>0</v>
      </c>
      <c r="F90" s="78" t="n">
        <f aca="false">IF(AND(D90=0,E90=0),E90,IF(D90=0,E90-1,E90))</f>
        <v>0</v>
      </c>
      <c r="G90" s="78" t="n">
        <f aca="false">F90*$D$6</f>
        <v>0</v>
      </c>
      <c r="H90" s="79" t="n">
        <f aca="false">((E90*$D$3)-G90)-C90+D90</f>
        <v>3.78399999999999</v>
      </c>
    </row>
    <row r="91" customFormat="false" ht="15" hidden="false" customHeight="false" outlineLevel="0" collapsed="false">
      <c r="B91" s="77" t="n">
        <v>74</v>
      </c>
      <c r="C91" s="78" t="n">
        <f aca="false">IF($D$11-B91&lt;0,0,$D$12)</f>
        <v>0</v>
      </c>
      <c r="D91" s="78" t="n">
        <f aca="false">IF(H90&lt;=$D$5,0,H90)</f>
        <v>3.78399999999999</v>
      </c>
      <c r="E91" s="78" t="n">
        <f aca="false">ABS(IF(C91=0,0,IF(D91&gt;C91,0,ROUNDUP(((C91-$D$6-D91)/$D$4),0))))</f>
        <v>0</v>
      </c>
      <c r="F91" s="78" t="n">
        <f aca="false">IF(AND(D91=0,E91=0),E91,IF(D91=0,E91-1,E91))</f>
        <v>0</v>
      </c>
      <c r="G91" s="78" t="n">
        <f aca="false">F91*$D$6</f>
        <v>0</v>
      </c>
      <c r="H91" s="79" t="n">
        <f aca="false">((E91*$D$3)-G91)-C91+D91</f>
        <v>3.78399999999999</v>
      </c>
    </row>
    <row r="92" customFormat="false" ht="15" hidden="false" customHeight="false" outlineLevel="0" collapsed="false">
      <c r="B92" s="77" t="n">
        <v>75</v>
      </c>
      <c r="C92" s="78" t="n">
        <f aca="false">IF($D$11-B92&lt;0,0,$D$12)</f>
        <v>0</v>
      </c>
      <c r="D92" s="78" t="n">
        <f aca="false">IF(H91&lt;=$D$5,0,H91)</f>
        <v>3.78399999999999</v>
      </c>
      <c r="E92" s="78" t="n">
        <f aca="false">ABS(IF(C92=0,0,IF(D92&gt;C92,0,ROUNDUP(((C92-$D$6-D92)/$D$4),0))))</f>
        <v>0</v>
      </c>
      <c r="F92" s="78" t="n">
        <f aca="false">IF(AND(D92=0,E92=0),E92,IF(D92=0,E92-1,E92))</f>
        <v>0</v>
      </c>
      <c r="G92" s="78" t="n">
        <f aca="false">F92*$D$6</f>
        <v>0</v>
      </c>
      <c r="H92" s="79" t="n">
        <f aca="false">((E92*$D$3)-G92)-C92+D92</f>
        <v>3.78399999999999</v>
      </c>
    </row>
    <row r="93" customFormat="false" ht="15" hidden="false" customHeight="false" outlineLevel="0" collapsed="false">
      <c r="B93" s="77" t="n">
        <v>76</v>
      </c>
      <c r="C93" s="78" t="n">
        <f aca="false">IF($D$11-B93&lt;0,0,$D$12)</f>
        <v>0</v>
      </c>
      <c r="D93" s="78" t="n">
        <f aca="false">IF(H92&lt;=$D$5,0,H92)</f>
        <v>3.78399999999999</v>
      </c>
      <c r="E93" s="78" t="n">
        <f aca="false">ABS(IF(C93=0,0,IF(D93&gt;C93,0,ROUNDUP(((C93-$D$6-D93)/$D$4),0))))</f>
        <v>0</v>
      </c>
      <c r="F93" s="78" t="n">
        <f aca="false">IF(AND(D93=0,E93=0),E93,IF(D93=0,E93-1,E93))</f>
        <v>0</v>
      </c>
      <c r="G93" s="78" t="n">
        <f aca="false">F93*$D$6</f>
        <v>0</v>
      </c>
      <c r="H93" s="79" t="n">
        <f aca="false">((E93*$D$3)-G93)-C93+D93</f>
        <v>3.78399999999999</v>
      </c>
    </row>
    <row r="94" customFormat="false" ht="15" hidden="false" customHeight="false" outlineLevel="0" collapsed="false">
      <c r="B94" s="77" t="n">
        <v>77</v>
      </c>
      <c r="C94" s="78" t="n">
        <f aca="false">IF($D$11-B94&lt;0,0,$D$12)</f>
        <v>0</v>
      </c>
      <c r="D94" s="78" t="n">
        <f aca="false">IF(H93&lt;=$D$5,0,H93)</f>
        <v>3.78399999999999</v>
      </c>
      <c r="E94" s="78" t="n">
        <f aca="false">ABS(IF(C94=0,0,IF(D94&gt;C94,0,ROUNDUP(((C94-$D$6-D94)/$D$4),0))))</f>
        <v>0</v>
      </c>
      <c r="F94" s="78" t="n">
        <f aca="false">IF(AND(D94=0,E94=0),E94,IF(D94=0,E94-1,E94))</f>
        <v>0</v>
      </c>
      <c r="G94" s="78" t="n">
        <f aca="false">F94*$D$6</f>
        <v>0</v>
      </c>
      <c r="H94" s="79" t="n">
        <f aca="false">((E94*$D$3)-G94)-C94+D94</f>
        <v>3.78399999999999</v>
      </c>
    </row>
    <row r="95" customFormat="false" ht="15" hidden="false" customHeight="false" outlineLevel="0" collapsed="false">
      <c r="B95" s="77" t="n">
        <v>78</v>
      </c>
      <c r="C95" s="78" t="n">
        <f aca="false">IF($D$11-B95&lt;0,0,$D$12)</f>
        <v>0</v>
      </c>
      <c r="D95" s="78" t="n">
        <f aca="false">IF(H94&lt;=$D$5,0,H94)</f>
        <v>3.78399999999999</v>
      </c>
      <c r="E95" s="78" t="n">
        <f aca="false">ABS(IF(C95=0,0,IF(D95&gt;C95,0,ROUNDUP(((C95-$D$6-D95)/$D$4),0))))</f>
        <v>0</v>
      </c>
      <c r="F95" s="78" t="n">
        <f aca="false">IF(AND(D95=0,E95=0),E95,IF(D95=0,E95-1,E95))</f>
        <v>0</v>
      </c>
      <c r="G95" s="78" t="n">
        <f aca="false">F95*$D$6</f>
        <v>0</v>
      </c>
      <c r="H95" s="79" t="n">
        <f aca="false">((E95*$D$3)-G95)-C95+D95</f>
        <v>3.78399999999999</v>
      </c>
    </row>
    <row r="96" customFormat="false" ht="15" hidden="false" customHeight="false" outlineLevel="0" collapsed="false">
      <c r="B96" s="77" t="n">
        <v>79</v>
      </c>
      <c r="C96" s="78" t="n">
        <f aca="false">IF($D$11-B96&lt;0,0,$D$12)</f>
        <v>0</v>
      </c>
      <c r="D96" s="78" t="n">
        <f aca="false">IF(H95&lt;=$D$5,0,H95)</f>
        <v>3.78399999999999</v>
      </c>
      <c r="E96" s="78" t="n">
        <f aca="false">ABS(IF(C96=0,0,IF(D96&gt;C96,0,ROUNDUP(((C96-$D$6-D96)/$D$4),0))))</f>
        <v>0</v>
      </c>
      <c r="F96" s="78" t="n">
        <f aca="false">IF(AND(D96=0,E96=0),E96,IF(D96=0,E96-1,E96))</f>
        <v>0</v>
      </c>
      <c r="G96" s="78" t="n">
        <f aca="false">F96*$D$6</f>
        <v>0</v>
      </c>
      <c r="H96" s="79" t="n">
        <f aca="false">((E96*$D$3)-G96)-C96+D96</f>
        <v>3.78399999999999</v>
      </c>
    </row>
    <row r="97" customFormat="false" ht="15" hidden="false" customHeight="false" outlineLevel="0" collapsed="false">
      <c r="B97" s="77" t="n">
        <v>80</v>
      </c>
      <c r="C97" s="78" t="n">
        <f aca="false">IF($D$11-B97&lt;0,0,$D$12)</f>
        <v>0</v>
      </c>
      <c r="D97" s="78" t="n">
        <f aca="false">IF(H96&lt;=$D$5,0,H96)</f>
        <v>3.78399999999999</v>
      </c>
      <c r="E97" s="78" t="n">
        <f aca="false">ABS(IF(C97=0,0,IF(D97&gt;C97,0,ROUNDUP(((C97-$D$6-D97)/$D$4),0))))</f>
        <v>0</v>
      </c>
      <c r="F97" s="78" t="n">
        <f aca="false">IF(AND(D97=0,E97=0),E97,IF(D97=0,E97-1,E97))</f>
        <v>0</v>
      </c>
      <c r="G97" s="78" t="n">
        <f aca="false">F97*$D$6</f>
        <v>0</v>
      </c>
      <c r="H97" s="79" t="n">
        <f aca="false">((E97*$D$3)-G97)-C97+D97</f>
        <v>3.78399999999999</v>
      </c>
    </row>
    <row r="98" customFormat="false" ht="15" hidden="false" customHeight="false" outlineLevel="0" collapsed="false">
      <c r="B98" s="77" t="n">
        <v>81</v>
      </c>
      <c r="C98" s="78" t="n">
        <f aca="false">IF($D$11-B98&lt;0,0,$D$12)</f>
        <v>0</v>
      </c>
      <c r="D98" s="78" t="n">
        <f aca="false">IF(H97&lt;=$D$5,0,H97)</f>
        <v>3.78399999999999</v>
      </c>
      <c r="E98" s="78" t="n">
        <f aca="false">ABS(IF(C98=0,0,IF(D98&gt;C98,0,ROUNDUP(((C98-$D$6-D98)/$D$4),0))))</f>
        <v>0</v>
      </c>
      <c r="F98" s="78" t="n">
        <f aca="false">IF(AND(D98=0,E98=0),E98,IF(D98=0,E98-1,E98))</f>
        <v>0</v>
      </c>
      <c r="G98" s="78" t="n">
        <f aca="false">F98*$D$6</f>
        <v>0</v>
      </c>
      <c r="H98" s="79" t="n">
        <f aca="false">((E98*$D$3)-G98)-C98+D98</f>
        <v>3.78399999999999</v>
      </c>
    </row>
    <row r="99" customFormat="false" ht="15" hidden="false" customHeight="false" outlineLevel="0" collapsed="false">
      <c r="B99" s="77" t="n">
        <v>82</v>
      </c>
      <c r="C99" s="78" t="n">
        <f aca="false">IF($D$11-B99&lt;0,0,$D$12)</f>
        <v>0</v>
      </c>
      <c r="D99" s="78" t="n">
        <f aca="false">IF(H98&lt;=$D$5,0,H98)</f>
        <v>3.78399999999999</v>
      </c>
      <c r="E99" s="78" t="n">
        <f aca="false">ABS(IF(C99=0,0,IF(D99&gt;C99,0,ROUNDUP(((C99-$D$6-D99)/$D$4),0))))</f>
        <v>0</v>
      </c>
      <c r="F99" s="78" t="n">
        <f aca="false">IF(AND(D99=0,E99=0),E99,IF(D99=0,E99-1,E99))</f>
        <v>0</v>
      </c>
      <c r="G99" s="78" t="n">
        <f aca="false">F99*$D$6</f>
        <v>0</v>
      </c>
      <c r="H99" s="79" t="n">
        <f aca="false">((E99*$D$3)-G99)-C99+D99</f>
        <v>3.78399999999999</v>
      </c>
    </row>
    <row r="100" customFormat="false" ht="15" hidden="false" customHeight="false" outlineLevel="0" collapsed="false">
      <c r="B100" s="77" t="n">
        <v>83</v>
      </c>
      <c r="C100" s="78" t="n">
        <f aca="false">IF($D$11-B100&lt;0,0,$D$12)</f>
        <v>0</v>
      </c>
      <c r="D100" s="78" t="n">
        <f aca="false">IF(H99&lt;=$D$5,0,H99)</f>
        <v>3.78399999999999</v>
      </c>
      <c r="E100" s="78" t="n">
        <f aca="false">ABS(IF(C100=0,0,IF(D100&gt;C100,0,ROUNDUP(((C100-$D$6-D100)/$D$4),0))))</f>
        <v>0</v>
      </c>
      <c r="F100" s="78" t="n">
        <f aca="false">IF(AND(D100=0,E100=0),E100,IF(D100=0,E100-1,E100))</f>
        <v>0</v>
      </c>
      <c r="G100" s="78" t="n">
        <f aca="false">F100*$D$6</f>
        <v>0</v>
      </c>
      <c r="H100" s="79" t="n">
        <f aca="false">((E100*$D$3)-G100)-C100+D100</f>
        <v>3.78399999999999</v>
      </c>
    </row>
    <row r="101" customFormat="false" ht="15" hidden="false" customHeight="false" outlineLevel="0" collapsed="false">
      <c r="B101" s="77" t="n">
        <v>84</v>
      </c>
      <c r="C101" s="78" t="n">
        <f aca="false">IF($D$11-B101&lt;0,0,$D$12)</f>
        <v>0</v>
      </c>
      <c r="D101" s="78" t="n">
        <f aca="false">IF(H100&lt;=$D$5,0,H100)</f>
        <v>3.78399999999999</v>
      </c>
      <c r="E101" s="78" t="n">
        <f aca="false">ABS(IF(C101=0,0,IF(D101&gt;C101,0,ROUNDUP(((C101-$D$6-D101)/$D$4),0))))</f>
        <v>0</v>
      </c>
      <c r="F101" s="78" t="n">
        <f aca="false">IF(AND(D101=0,E101=0),E101,IF(D101=0,E101-1,E101))</f>
        <v>0</v>
      </c>
      <c r="G101" s="78" t="n">
        <f aca="false">F101*$D$6</f>
        <v>0</v>
      </c>
      <c r="H101" s="79" t="n">
        <f aca="false">((E101*$D$3)-G101)-C101+D101</f>
        <v>3.78399999999999</v>
      </c>
    </row>
    <row r="102" customFormat="false" ht="15" hidden="false" customHeight="false" outlineLevel="0" collapsed="false">
      <c r="B102" s="77" t="n">
        <v>85</v>
      </c>
      <c r="C102" s="78" t="n">
        <f aca="false">IF($D$11-B102&lt;0,0,$D$12)</f>
        <v>0</v>
      </c>
      <c r="D102" s="78" t="n">
        <f aca="false">IF(H101&lt;=$D$5,0,H101)</f>
        <v>3.78399999999999</v>
      </c>
      <c r="E102" s="78" t="n">
        <f aca="false">ABS(IF(C102=0,0,IF(D102&gt;C102,0,ROUNDUP(((C102-$D$6-D102)/$D$4),0))))</f>
        <v>0</v>
      </c>
      <c r="F102" s="78" t="n">
        <f aca="false">IF(AND(D102=0,E102=0),E102,IF(D102=0,E102-1,E102))</f>
        <v>0</v>
      </c>
      <c r="G102" s="78" t="n">
        <f aca="false">F102*$D$6</f>
        <v>0</v>
      </c>
      <c r="H102" s="79" t="n">
        <f aca="false">((E102*$D$3)-G102)-C102+D102</f>
        <v>3.78399999999999</v>
      </c>
    </row>
    <row r="103" customFormat="false" ht="15" hidden="false" customHeight="false" outlineLevel="0" collapsed="false">
      <c r="B103" s="77" t="n">
        <v>86</v>
      </c>
      <c r="C103" s="78" t="n">
        <f aca="false">IF($D$11-B103&lt;0,0,$D$12)</f>
        <v>0</v>
      </c>
      <c r="D103" s="78" t="n">
        <f aca="false">IF(H102&lt;=$D$5,0,H102)</f>
        <v>3.78399999999999</v>
      </c>
      <c r="E103" s="78" t="n">
        <f aca="false">ABS(IF(C103=0,0,IF(D103&gt;C103,0,ROUNDUP(((C103-$D$6-D103)/$D$4),0))))</f>
        <v>0</v>
      </c>
      <c r="F103" s="78" t="n">
        <f aca="false">IF(AND(D103=0,E103=0),E103,IF(D103=0,E103-1,E103))</f>
        <v>0</v>
      </c>
      <c r="G103" s="78" t="n">
        <f aca="false">F103*$D$6</f>
        <v>0</v>
      </c>
      <c r="H103" s="79" t="n">
        <f aca="false">((E103*$D$3)-G103)-C103+D103</f>
        <v>3.78399999999999</v>
      </c>
    </row>
    <row r="104" customFormat="false" ht="15" hidden="false" customHeight="false" outlineLevel="0" collapsed="false">
      <c r="B104" s="77" t="n">
        <v>87</v>
      </c>
      <c r="C104" s="78" t="n">
        <f aca="false">IF($D$11-B104&lt;0,0,$D$12)</f>
        <v>0</v>
      </c>
      <c r="D104" s="78" t="n">
        <f aca="false">IF(H103&lt;=$D$5,0,H103)</f>
        <v>3.78399999999999</v>
      </c>
      <c r="E104" s="78" t="n">
        <f aca="false">ABS(IF(C104=0,0,IF(D104&gt;C104,0,ROUNDUP(((C104-$D$6-D104)/$D$4),0))))</f>
        <v>0</v>
      </c>
      <c r="F104" s="78" t="n">
        <f aca="false">IF(AND(D104=0,E104=0),E104,IF(D104=0,E104-1,E104))</f>
        <v>0</v>
      </c>
      <c r="G104" s="78" t="n">
        <f aca="false">F104*$D$6</f>
        <v>0</v>
      </c>
      <c r="H104" s="79" t="n">
        <f aca="false">((E104*$D$3)-G104)-C104+D104</f>
        <v>3.78399999999999</v>
      </c>
    </row>
    <row r="105" customFormat="false" ht="15" hidden="false" customHeight="false" outlineLevel="0" collapsed="false">
      <c r="B105" s="77" t="n">
        <v>88</v>
      </c>
      <c r="C105" s="78" t="n">
        <f aca="false">IF($D$11-B105&lt;0,0,$D$12)</f>
        <v>0</v>
      </c>
      <c r="D105" s="78" t="n">
        <f aca="false">IF(H104&lt;=$D$5,0,H104)</f>
        <v>3.78399999999999</v>
      </c>
      <c r="E105" s="78" t="n">
        <f aca="false">ABS(IF(C105=0,0,IF(D105&gt;C105,0,ROUNDUP(((C105-$D$6-D105)/$D$4),0))))</f>
        <v>0</v>
      </c>
      <c r="F105" s="78" t="n">
        <f aca="false">IF(AND(D105=0,E105=0),E105,IF(D105=0,E105-1,E105))</f>
        <v>0</v>
      </c>
      <c r="G105" s="78" t="n">
        <f aca="false">F105*$D$6</f>
        <v>0</v>
      </c>
      <c r="H105" s="79" t="n">
        <f aca="false">((E105*$D$3)-G105)-C105+D105</f>
        <v>3.78399999999999</v>
      </c>
    </row>
    <row r="106" customFormat="false" ht="15" hidden="false" customHeight="false" outlineLevel="0" collapsed="false">
      <c r="B106" s="77" t="n">
        <v>89</v>
      </c>
      <c r="C106" s="78" t="n">
        <f aca="false">IF($D$11-B106&lt;0,0,$D$12)</f>
        <v>0</v>
      </c>
      <c r="D106" s="78" t="n">
        <f aca="false">IF(H105&lt;=$D$5,0,H105)</f>
        <v>3.78399999999999</v>
      </c>
      <c r="E106" s="78" t="n">
        <f aca="false">ABS(IF(C106=0,0,IF(D106&gt;C106,0,ROUNDUP(((C106-$D$6-D106)/$D$4),0))))</f>
        <v>0</v>
      </c>
      <c r="F106" s="78" t="n">
        <f aca="false">IF(AND(D106=0,E106=0),E106,IF(D106=0,E106-1,E106))</f>
        <v>0</v>
      </c>
      <c r="G106" s="78" t="n">
        <f aca="false">F106*$D$6</f>
        <v>0</v>
      </c>
      <c r="H106" s="79" t="n">
        <f aca="false">((E106*$D$3)-G106)-C106+D106</f>
        <v>3.78399999999999</v>
      </c>
    </row>
    <row r="107" customFormat="false" ht="15" hidden="false" customHeight="false" outlineLevel="0" collapsed="false">
      <c r="B107" s="77" t="n">
        <v>90</v>
      </c>
      <c r="C107" s="78" t="n">
        <f aca="false">IF($D$11-B107&lt;0,0,$D$12)</f>
        <v>0</v>
      </c>
      <c r="D107" s="78" t="n">
        <f aca="false">IF(H106&lt;=$D$5,0,H106)</f>
        <v>3.78399999999999</v>
      </c>
      <c r="E107" s="78" t="n">
        <f aca="false">ABS(IF(C107=0,0,IF(D107&gt;C107,0,ROUNDUP(((C107-$D$6-D107)/$D$4),0))))</f>
        <v>0</v>
      </c>
      <c r="F107" s="78" t="n">
        <f aca="false">IF(AND(D107=0,E107=0),E107,IF(D107=0,E107-1,E107))</f>
        <v>0</v>
      </c>
      <c r="G107" s="78" t="n">
        <f aca="false">F107*$D$6</f>
        <v>0</v>
      </c>
      <c r="H107" s="79" t="n">
        <f aca="false">((E107*$D$3)-G107)-C107+D107</f>
        <v>3.78399999999999</v>
      </c>
    </row>
    <row r="108" customFormat="false" ht="15" hidden="false" customHeight="false" outlineLevel="0" collapsed="false">
      <c r="B108" s="77" t="n">
        <v>91</v>
      </c>
      <c r="C108" s="78" t="n">
        <f aca="false">IF($D$11-B108&lt;0,0,$D$12)</f>
        <v>0</v>
      </c>
      <c r="D108" s="78" t="n">
        <f aca="false">IF(H107&lt;=$D$5,0,H107)</f>
        <v>3.78399999999999</v>
      </c>
      <c r="E108" s="78" t="n">
        <f aca="false">ABS(IF(C108=0,0,IF(D108&gt;C108,0,ROUNDUP(((C108-$D$6-D108)/$D$4),0))))</f>
        <v>0</v>
      </c>
      <c r="F108" s="78" t="n">
        <f aca="false">IF(AND(D108=0,E108=0),E108,IF(D108=0,E108-1,E108))</f>
        <v>0</v>
      </c>
      <c r="G108" s="78" t="n">
        <f aca="false">F108*$D$6</f>
        <v>0</v>
      </c>
      <c r="H108" s="79" t="n">
        <f aca="false">((E108*$D$3)-G108)-C108+D108</f>
        <v>3.78399999999999</v>
      </c>
    </row>
    <row r="109" customFormat="false" ht="15" hidden="false" customHeight="false" outlineLevel="0" collapsed="false">
      <c r="B109" s="77" t="n">
        <v>92</v>
      </c>
      <c r="C109" s="78" t="n">
        <f aca="false">IF($D$11-B109&lt;0,0,$D$12)</f>
        <v>0</v>
      </c>
      <c r="D109" s="78" t="n">
        <f aca="false">IF(H108&lt;=$D$5,0,H108)</f>
        <v>3.78399999999999</v>
      </c>
      <c r="E109" s="78" t="n">
        <f aca="false">ABS(IF(C109=0,0,IF(D109&gt;C109,0,ROUNDUP(((C109-$D$6-D109)/$D$4),0))))</f>
        <v>0</v>
      </c>
      <c r="F109" s="78" t="n">
        <f aca="false">IF(AND(D109=0,E109=0),E109,IF(D109=0,E109-1,E109))</f>
        <v>0</v>
      </c>
      <c r="G109" s="78" t="n">
        <f aca="false">F109*$D$6</f>
        <v>0</v>
      </c>
      <c r="H109" s="79" t="n">
        <f aca="false">((E109*$D$3)-G109)-C109+D109</f>
        <v>3.78399999999999</v>
      </c>
    </row>
    <row r="110" customFormat="false" ht="15" hidden="false" customHeight="false" outlineLevel="0" collapsed="false">
      <c r="B110" s="77" t="n">
        <v>93</v>
      </c>
      <c r="C110" s="78" t="n">
        <f aca="false">IF($D$11-B110&lt;0,0,$D$12)</f>
        <v>0</v>
      </c>
      <c r="D110" s="78" t="n">
        <f aca="false">IF(H109&lt;=$D$5,0,H109)</f>
        <v>3.78399999999999</v>
      </c>
      <c r="E110" s="78" t="n">
        <f aca="false">ABS(IF(C110=0,0,IF(D110&gt;C110,0,ROUNDUP(((C110-$D$6-D110)/$D$4),0))))</f>
        <v>0</v>
      </c>
      <c r="F110" s="78" t="n">
        <f aca="false">IF(AND(D110=0,E110=0),E110,IF(D110=0,E110-1,E110))</f>
        <v>0</v>
      </c>
      <c r="G110" s="78" t="n">
        <f aca="false">F110*$D$6</f>
        <v>0</v>
      </c>
      <c r="H110" s="79" t="n">
        <f aca="false">((E110*$D$3)-G110)-C110+D110</f>
        <v>3.78399999999999</v>
      </c>
    </row>
    <row r="111" customFormat="false" ht="15" hidden="false" customHeight="false" outlineLevel="0" collapsed="false">
      <c r="B111" s="77" t="n">
        <v>94</v>
      </c>
      <c r="C111" s="78" t="n">
        <f aca="false">IF($D$11-B111&lt;0,0,$D$12)</f>
        <v>0</v>
      </c>
      <c r="D111" s="78" t="n">
        <f aca="false">IF(H110&lt;=$D$5,0,H110)</f>
        <v>3.78399999999999</v>
      </c>
      <c r="E111" s="78" t="n">
        <f aca="false">ABS(IF(C111=0,0,IF(D111&gt;C111,0,ROUNDUP(((C111-$D$6-D111)/$D$4),0))))</f>
        <v>0</v>
      </c>
      <c r="F111" s="78" t="n">
        <f aca="false">IF(AND(D111=0,E111=0),E111,IF(D111=0,E111-1,E111))</f>
        <v>0</v>
      </c>
      <c r="G111" s="78" t="n">
        <f aca="false">F111*$D$6</f>
        <v>0</v>
      </c>
      <c r="H111" s="79" t="n">
        <f aca="false">((E111*$D$3)-G111)-C111+D111</f>
        <v>3.78399999999999</v>
      </c>
    </row>
    <row r="112" customFormat="false" ht="15" hidden="false" customHeight="false" outlineLevel="0" collapsed="false">
      <c r="B112" s="77" t="n">
        <v>95</v>
      </c>
      <c r="C112" s="78" t="n">
        <f aca="false">IF($D$11-B112&lt;0,0,$D$12)</f>
        <v>0</v>
      </c>
      <c r="D112" s="78" t="n">
        <f aca="false">IF(H111&lt;=$D$5,0,H111)</f>
        <v>3.78399999999999</v>
      </c>
      <c r="E112" s="78" t="n">
        <f aca="false">ABS(IF(C112=0,0,IF(D112&gt;C112,0,ROUNDUP(((C112-$D$6-D112)/$D$4),0))))</f>
        <v>0</v>
      </c>
      <c r="F112" s="78" t="n">
        <f aca="false">IF(AND(D112=0,E112=0),E112,IF(D112=0,E112-1,E112))</f>
        <v>0</v>
      </c>
      <c r="G112" s="78" t="n">
        <f aca="false">F112*$D$6</f>
        <v>0</v>
      </c>
      <c r="H112" s="79" t="n">
        <f aca="false">((E112*$D$3)-G112)-C112+D112</f>
        <v>3.78399999999999</v>
      </c>
    </row>
    <row r="113" customFormat="false" ht="15" hidden="false" customHeight="false" outlineLevel="0" collapsed="false">
      <c r="B113" s="77" t="n">
        <v>96</v>
      </c>
      <c r="C113" s="78" t="n">
        <f aca="false">IF($D$11-B113&lt;0,0,$D$12)</f>
        <v>0</v>
      </c>
      <c r="D113" s="78" t="n">
        <f aca="false">IF(H112&lt;=$D$5,0,H112)</f>
        <v>3.78399999999999</v>
      </c>
      <c r="E113" s="78" t="n">
        <f aca="false">ABS(IF(C113=0,0,IF(D113&gt;C113,0,ROUNDUP(((C113-$D$6-D113)/$D$4),0))))</f>
        <v>0</v>
      </c>
      <c r="F113" s="78" t="n">
        <f aca="false">IF(AND(D113=0,E113=0),E113,IF(D113=0,E113-1,E113))</f>
        <v>0</v>
      </c>
      <c r="G113" s="78" t="n">
        <f aca="false">F113*$D$6</f>
        <v>0</v>
      </c>
      <c r="H113" s="79" t="n">
        <f aca="false">((E113*$D$3)-G113)-C113+D113</f>
        <v>3.78399999999999</v>
      </c>
    </row>
    <row r="114" customFormat="false" ht="15" hidden="false" customHeight="false" outlineLevel="0" collapsed="false">
      <c r="B114" s="77" t="n">
        <v>97</v>
      </c>
      <c r="C114" s="78" t="n">
        <f aca="false">IF($D$11-B114&lt;0,0,$D$12)</f>
        <v>0</v>
      </c>
      <c r="D114" s="78" t="n">
        <f aca="false">IF(H113&lt;=$D$5,0,H113)</f>
        <v>3.78399999999999</v>
      </c>
      <c r="E114" s="78" t="n">
        <f aca="false">ABS(IF(C114=0,0,IF(D114&gt;C114,0,ROUNDUP(((C114-$D$6-D114)/$D$4),0))))</f>
        <v>0</v>
      </c>
      <c r="F114" s="78" t="n">
        <f aca="false">IF(AND(D114=0,E114=0),E114,IF(D114=0,E114-1,E114))</f>
        <v>0</v>
      </c>
      <c r="G114" s="78" t="n">
        <f aca="false">F114*$D$6</f>
        <v>0</v>
      </c>
      <c r="H114" s="79" t="n">
        <f aca="false">((E114*$D$3)-G114)-C114+D114</f>
        <v>3.78399999999999</v>
      </c>
    </row>
    <row r="115" customFormat="false" ht="15" hidden="false" customHeight="false" outlineLevel="0" collapsed="false">
      <c r="B115" s="77" t="n">
        <v>98</v>
      </c>
      <c r="C115" s="78" t="n">
        <f aca="false">IF($D$11-B115&lt;0,0,$D$12)</f>
        <v>0</v>
      </c>
      <c r="D115" s="78" t="n">
        <f aca="false">IF(H114&lt;=$D$5,0,H114)</f>
        <v>3.78399999999999</v>
      </c>
      <c r="E115" s="78" t="n">
        <f aca="false">ABS(IF(C115=0,0,IF(D115&gt;C115,0,ROUNDUP(((C115-$D$6-D115)/$D$4),0))))</f>
        <v>0</v>
      </c>
      <c r="F115" s="78" t="n">
        <f aca="false">IF(AND(D115=0,E115=0),E115,IF(D115=0,E115-1,E115))</f>
        <v>0</v>
      </c>
      <c r="G115" s="78" t="n">
        <f aca="false">F115*$D$6</f>
        <v>0</v>
      </c>
      <c r="H115" s="79" t="n">
        <f aca="false">((E115*$D$3)-G115)-C115+D115</f>
        <v>3.78399999999999</v>
      </c>
    </row>
    <row r="116" customFormat="false" ht="15" hidden="false" customHeight="false" outlineLevel="0" collapsed="false">
      <c r="B116" s="77" t="n">
        <v>99</v>
      </c>
      <c r="C116" s="78" t="n">
        <f aca="false">IF($D$11-B116&lt;0,0,$D$12)</f>
        <v>0</v>
      </c>
      <c r="D116" s="78" t="n">
        <f aca="false">IF(H115&lt;=$D$5,0,H115)</f>
        <v>3.78399999999999</v>
      </c>
      <c r="E116" s="78" t="n">
        <f aca="false">ABS(IF(C116=0,0,IF(D116&gt;C116,0,ROUNDUP(((C116-$D$6-D116)/$D$4),0))))</f>
        <v>0</v>
      </c>
      <c r="F116" s="78" t="n">
        <f aca="false">IF(AND(D116=0,E116=0),E116,IF(D116=0,E116-1,E116))</f>
        <v>0</v>
      </c>
      <c r="G116" s="78" t="n">
        <f aca="false">F116*$D$6</f>
        <v>0</v>
      </c>
      <c r="H116" s="79" t="n">
        <f aca="false">((E116*$D$3)-G116)-C116+D116</f>
        <v>3.78399999999999</v>
      </c>
    </row>
    <row r="117" customFormat="false" ht="15" hidden="false" customHeight="false" outlineLevel="0" collapsed="false">
      <c r="B117" s="77" t="n">
        <v>100</v>
      </c>
      <c r="C117" s="78" t="n">
        <f aca="false">IF($D$11-B117&lt;0,0,$D$12)</f>
        <v>0</v>
      </c>
      <c r="D117" s="78" t="n">
        <f aca="false">IF(H116&lt;=$D$5,0,H116)</f>
        <v>3.78399999999999</v>
      </c>
      <c r="E117" s="78" t="n">
        <f aca="false">ABS(IF(C117=0,0,IF(D117&gt;C117,0,ROUNDUP(((C117-$D$6-D117)/$D$4),0))))</f>
        <v>0</v>
      </c>
      <c r="F117" s="78" t="n">
        <f aca="false">IF(AND(D117=0,E117=0),E117,IF(D117=0,E117-1,E117))</f>
        <v>0</v>
      </c>
      <c r="G117" s="78" t="n">
        <f aca="false">F117*$D$6</f>
        <v>0</v>
      </c>
      <c r="H117" s="79" t="n">
        <f aca="false">((E117*$D$3)-G117)-C117+D117</f>
        <v>3.78399999999999</v>
      </c>
    </row>
    <row r="118" customFormat="false" ht="15" hidden="false" customHeight="false" outlineLevel="0" collapsed="false">
      <c r="B118" s="77" t="n">
        <v>101</v>
      </c>
      <c r="C118" s="78" t="n">
        <f aca="false">IF($D$11-B118&lt;0,0,$D$12)</f>
        <v>0</v>
      </c>
      <c r="D118" s="78" t="n">
        <f aca="false">IF(H117&lt;=$D$5,0,H117)</f>
        <v>3.78399999999999</v>
      </c>
      <c r="E118" s="78" t="n">
        <f aca="false">ABS(IF(C118=0,0,IF(D118&gt;C118,0,ROUNDUP(((C118-$D$6-D118)/$D$4),0))))</f>
        <v>0</v>
      </c>
      <c r="F118" s="78" t="n">
        <f aca="false">IF(AND(D118=0,E118=0),E118,IF(D118=0,E118-1,E118))</f>
        <v>0</v>
      </c>
      <c r="G118" s="78" t="n">
        <f aca="false">F118*$D$6</f>
        <v>0</v>
      </c>
      <c r="H118" s="79" t="n">
        <f aca="false">((E118*$D$3)-G118)-C118+D118</f>
        <v>3.78399999999999</v>
      </c>
    </row>
    <row r="119" customFormat="false" ht="15" hidden="false" customHeight="false" outlineLevel="0" collapsed="false">
      <c r="B119" s="77" t="n">
        <v>102</v>
      </c>
      <c r="C119" s="78" t="n">
        <f aca="false">IF($D$11-B119&lt;0,0,$D$12)</f>
        <v>0</v>
      </c>
      <c r="D119" s="78" t="n">
        <f aca="false">IF(H118&lt;=$D$5,0,H118)</f>
        <v>3.78399999999999</v>
      </c>
      <c r="E119" s="78" t="n">
        <f aca="false">ABS(IF(C119=0,0,IF(D119&gt;C119,0,ROUNDUP(((C119-$D$6-D119)/$D$4),0))))</f>
        <v>0</v>
      </c>
      <c r="F119" s="78" t="n">
        <f aca="false">IF(AND(D119=0,E119=0),E119,IF(D119=0,E119-1,E119))</f>
        <v>0</v>
      </c>
      <c r="G119" s="78" t="n">
        <f aca="false">F119*$D$6</f>
        <v>0</v>
      </c>
      <c r="H119" s="79" t="n">
        <f aca="false">((E119*$D$3)-G119)-C119+D119</f>
        <v>3.78399999999999</v>
      </c>
    </row>
    <row r="120" customFormat="false" ht="15" hidden="false" customHeight="false" outlineLevel="0" collapsed="false">
      <c r="B120" s="77" t="n">
        <v>103</v>
      </c>
      <c r="C120" s="78" t="n">
        <f aca="false">IF($D$11-B120&lt;0,0,$D$12)</f>
        <v>0</v>
      </c>
      <c r="D120" s="78" t="n">
        <f aca="false">IF(H119&lt;=$D$5,0,H119)</f>
        <v>3.78399999999999</v>
      </c>
      <c r="E120" s="78" t="n">
        <f aca="false">ABS(IF(C120=0,0,IF(D120&gt;C120,0,ROUNDUP(((C120-$D$6-D120)/$D$4),0))))</f>
        <v>0</v>
      </c>
      <c r="F120" s="78" t="n">
        <f aca="false">IF(AND(D120=0,E120=0),E120,IF(D120=0,E120-1,E120))</f>
        <v>0</v>
      </c>
      <c r="G120" s="78" t="n">
        <f aca="false">F120*$D$6</f>
        <v>0</v>
      </c>
      <c r="H120" s="79" t="n">
        <f aca="false">((E120*$D$3)-G120)-C120+D120</f>
        <v>3.78399999999999</v>
      </c>
    </row>
    <row r="121" customFormat="false" ht="15" hidden="false" customHeight="false" outlineLevel="0" collapsed="false">
      <c r="B121" s="77" t="n">
        <v>104</v>
      </c>
      <c r="C121" s="78" t="n">
        <f aca="false">IF($D$11-B121&lt;0,0,$D$12)</f>
        <v>0</v>
      </c>
      <c r="D121" s="78" t="n">
        <f aca="false">IF(H120&lt;=$D$5,0,H120)</f>
        <v>3.78399999999999</v>
      </c>
      <c r="E121" s="78" t="n">
        <f aca="false">ABS(IF(C121=0,0,IF(D121&gt;C121,0,ROUNDUP(((C121-$D$6-D121)/$D$4),0))))</f>
        <v>0</v>
      </c>
      <c r="F121" s="78" t="n">
        <f aca="false">IF(AND(D121=0,E121=0),E121,IF(D121=0,E121-1,E121))</f>
        <v>0</v>
      </c>
      <c r="G121" s="78" t="n">
        <f aca="false">F121*$D$6</f>
        <v>0</v>
      </c>
      <c r="H121" s="79" t="n">
        <f aca="false">((E121*$D$3)-G121)-C121+D121</f>
        <v>3.78399999999999</v>
      </c>
    </row>
    <row r="122" customFormat="false" ht="15" hidden="false" customHeight="false" outlineLevel="0" collapsed="false">
      <c r="B122" s="77" t="n">
        <v>105</v>
      </c>
      <c r="C122" s="78" t="n">
        <f aca="false">IF($D$11-B122&lt;0,0,$D$12)</f>
        <v>0</v>
      </c>
      <c r="D122" s="78" t="n">
        <f aca="false">IF(H121&lt;=$D$5,0,H121)</f>
        <v>3.78399999999999</v>
      </c>
      <c r="E122" s="78" t="n">
        <f aca="false">ABS(IF(C122=0,0,IF(D122&gt;C122,0,ROUNDUP(((C122-$D$6-D122)/$D$4),0))))</f>
        <v>0</v>
      </c>
      <c r="F122" s="78" t="n">
        <f aca="false">IF(AND(D122=0,E122=0),E122,IF(D122=0,E122-1,E122))</f>
        <v>0</v>
      </c>
      <c r="G122" s="78" t="n">
        <f aca="false">F122*$D$6</f>
        <v>0</v>
      </c>
      <c r="H122" s="79" t="n">
        <f aca="false">((E122*$D$3)-G122)-C122+D122</f>
        <v>3.78399999999999</v>
      </c>
    </row>
    <row r="123" customFormat="false" ht="15" hidden="false" customHeight="false" outlineLevel="0" collapsed="false">
      <c r="B123" s="77" t="n">
        <v>106</v>
      </c>
      <c r="C123" s="78" t="n">
        <f aca="false">IF($D$11-B123&lt;0,0,$D$12)</f>
        <v>0</v>
      </c>
      <c r="D123" s="78" t="n">
        <f aca="false">IF(H122&lt;=$D$5,0,H122)</f>
        <v>3.78399999999999</v>
      </c>
      <c r="E123" s="78" t="n">
        <f aca="false">ABS(IF(C123=0,0,IF(D123&gt;C123,0,ROUNDUP(((C123-$D$6-D123)/$D$4),0))))</f>
        <v>0</v>
      </c>
      <c r="F123" s="78" t="n">
        <f aca="false">IF(AND(D123=0,E123=0),E123,IF(D123=0,E123-1,E123))</f>
        <v>0</v>
      </c>
      <c r="G123" s="78" t="n">
        <f aca="false">F123*$D$6</f>
        <v>0</v>
      </c>
      <c r="H123" s="79" t="n">
        <f aca="false">((E123*$D$3)-G123)-C123+D123</f>
        <v>3.78399999999999</v>
      </c>
    </row>
    <row r="124" customFormat="false" ht="15" hidden="false" customHeight="false" outlineLevel="0" collapsed="false">
      <c r="B124" s="77" t="n">
        <v>107</v>
      </c>
      <c r="C124" s="78" t="n">
        <f aca="false">IF($D$11-B124&lt;0,0,$D$12)</f>
        <v>0</v>
      </c>
      <c r="D124" s="78" t="n">
        <f aca="false">IF(H123&lt;=$D$5,0,H123)</f>
        <v>3.78399999999999</v>
      </c>
      <c r="E124" s="78" t="n">
        <f aca="false">ABS(IF(C124=0,0,IF(D124&gt;C124,0,ROUNDUP(((C124-$D$6-D124)/$D$4),0))))</f>
        <v>0</v>
      </c>
      <c r="F124" s="78" t="n">
        <f aca="false">IF(AND(D124=0,E124=0),E124,IF(D124=0,E124-1,E124))</f>
        <v>0</v>
      </c>
      <c r="G124" s="78" t="n">
        <f aca="false">F124*$D$6</f>
        <v>0</v>
      </c>
      <c r="H124" s="79" t="n">
        <f aca="false">((E124*$D$3)-G124)-C124+D124</f>
        <v>3.78399999999999</v>
      </c>
    </row>
    <row r="125" customFormat="false" ht="15" hidden="false" customHeight="false" outlineLevel="0" collapsed="false">
      <c r="B125" s="77" t="n">
        <v>108</v>
      </c>
      <c r="C125" s="78" t="n">
        <f aca="false">IF($D$11-B125&lt;0,0,$D$12)</f>
        <v>0</v>
      </c>
      <c r="D125" s="78" t="n">
        <f aca="false">IF(H124&lt;=$D$5,0,H124)</f>
        <v>3.78399999999999</v>
      </c>
      <c r="E125" s="78" t="n">
        <f aca="false">ABS(IF(C125=0,0,IF(D125&gt;C125,0,ROUNDUP(((C125-$D$6-D125)/$D$4),0))))</f>
        <v>0</v>
      </c>
      <c r="F125" s="78" t="n">
        <f aca="false">IF(AND(D125=0,E125=0),E125,IF(D125=0,E125-1,E125))</f>
        <v>0</v>
      </c>
      <c r="G125" s="78" t="n">
        <f aca="false">F125*$D$6</f>
        <v>0</v>
      </c>
      <c r="H125" s="79" t="n">
        <f aca="false">((E125*$D$3)-G125)-C125+D125</f>
        <v>3.78399999999999</v>
      </c>
    </row>
    <row r="126" customFormat="false" ht="15" hidden="false" customHeight="false" outlineLevel="0" collapsed="false">
      <c r="B126" s="77" t="n">
        <v>109</v>
      </c>
      <c r="C126" s="78" t="n">
        <f aca="false">IF($D$11-B126&lt;0,0,$D$12)</f>
        <v>0</v>
      </c>
      <c r="D126" s="78" t="n">
        <f aca="false">IF(H125&lt;=$D$5,0,H125)</f>
        <v>3.78399999999999</v>
      </c>
      <c r="E126" s="78" t="n">
        <f aca="false">ABS(IF(C126=0,0,IF(D126&gt;C126,0,ROUNDUP(((C126-$D$6-D126)/$D$4),0))))</f>
        <v>0</v>
      </c>
      <c r="F126" s="78" t="n">
        <f aca="false">IF(AND(D126=0,E126=0),E126,IF(D126=0,E126-1,E126))</f>
        <v>0</v>
      </c>
      <c r="G126" s="78" t="n">
        <f aca="false">F126*$D$6</f>
        <v>0</v>
      </c>
      <c r="H126" s="79" t="n">
        <f aca="false">((E126*$D$3)-G126)-C126+D126</f>
        <v>3.78399999999999</v>
      </c>
    </row>
    <row r="127" customFormat="false" ht="15" hidden="false" customHeight="false" outlineLevel="0" collapsed="false">
      <c r="B127" s="77" t="n">
        <v>110</v>
      </c>
      <c r="C127" s="78" t="n">
        <f aca="false">IF($D$11-B127&lt;0,0,$D$12)</f>
        <v>0</v>
      </c>
      <c r="D127" s="78" t="n">
        <f aca="false">IF(H126&lt;=$D$5,0,H126)</f>
        <v>3.78399999999999</v>
      </c>
      <c r="E127" s="78" t="n">
        <f aca="false">ABS(IF(C127=0,0,IF(D127&gt;C127,0,ROUNDUP(((C127-$D$6-D127)/$D$4),0))))</f>
        <v>0</v>
      </c>
      <c r="F127" s="78" t="n">
        <f aca="false">IF(AND(D127=0,E127=0),E127,IF(D127=0,E127-1,E127))</f>
        <v>0</v>
      </c>
      <c r="G127" s="78" t="n">
        <f aca="false">F127*$D$6</f>
        <v>0</v>
      </c>
      <c r="H127" s="79" t="n">
        <f aca="false">((E127*$D$3)-G127)-C127+D127</f>
        <v>3.78399999999999</v>
      </c>
    </row>
    <row r="128" customFormat="false" ht="15" hidden="false" customHeight="false" outlineLevel="0" collapsed="false">
      <c r="B128" s="77" t="n">
        <v>111</v>
      </c>
      <c r="C128" s="78" t="n">
        <f aca="false">IF($D$11-B128&lt;0,0,$D$12)</f>
        <v>0</v>
      </c>
      <c r="D128" s="78" t="n">
        <f aca="false">IF(H127&lt;=$D$5,0,H127)</f>
        <v>3.78399999999999</v>
      </c>
      <c r="E128" s="78" t="n">
        <f aca="false">ABS(IF(C128=0,0,IF(D128&gt;C128,0,ROUNDUP(((C128-$D$6-D128)/$D$4),0))))</f>
        <v>0</v>
      </c>
      <c r="F128" s="78" t="n">
        <f aca="false">IF(AND(D128=0,E128=0),E128,IF(D128=0,E128-1,E128))</f>
        <v>0</v>
      </c>
      <c r="G128" s="78" t="n">
        <f aca="false">F128*$D$6</f>
        <v>0</v>
      </c>
      <c r="H128" s="79" t="n">
        <f aca="false">((E128*$D$3)-G128)-C128+D128</f>
        <v>3.78399999999999</v>
      </c>
    </row>
    <row r="129" customFormat="false" ht="15" hidden="false" customHeight="false" outlineLevel="0" collapsed="false">
      <c r="B129" s="77" t="n">
        <v>112</v>
      </c>
      <c r="C129" s="78" t="n">
        <f aca="false">IF($D$11-B129&lt;0,0,$D$12)</f>
        <v>0</v>
      </c>
      <c r="D129" s="78" t="n">
        <f aca="false">IF(H128&lt;=$D$5,0,H128)</f>
        <v>3.78399999999999</v>
      </c>
      <c r="E129" s="78" t="n">
        <f aca="false">ABS(IF(C129=0,0,IF(D129&gt;C129,0,ROUNDUP(((C129-$D$6-D129)/$D$4),0))))</f>
        <v>0</v>
      </c>
      <c r="F129" s="78" t="n">
        <f aca="false">IF(AND(D129=0,E129=0),E129,IF(D129=0,E129-1,E129))</f>
        <v>0</v>
      </c>
      <c r="G129" s="78" t="n">
        <f aca="false">F129*$D$6</f>
        <v>0</v>
      </c>
      <c r="H129" s="79" t="n">
        <f aca="false">((E129*$D$3)-G129)-C129+D129</f>
        <v>3.78399999999999</v>
      </c>
    </row>
    <row r="130" customFormat="false" ht="15" hidden="false" customHeight="false" outlineLevel="0" collapsed="false">
      <c r="B130" s="77" t="n">
        <v>113</v>
      </c>
      <c r="C130" s="78" t="n">
        <f aca="false">IF($D$11-B130&lt;0,0,$D$12)</f>
        <v>0</v>
      </c>
      <c r="D130" s="78" t="n">
        <f aca="false">IF(H129&lt;=$D$5,0,H129)</f>
        <v>3.78399999999999</v>
      </c>
      <c r="E130" s="78" t="n">
        <f aca="false">ABS(IF(C130=0,0,IF(D130&gt;C130,0,ROUNDUP(((C130-$D$6-D130)/$D$4),0))))</f>
        <v>0</v>
      </c>
      <c r="F130" s="78" t="n">
        <f aca="false">IF(AND(D130=0,E130=0),E130,IF(D130=0,E130-1,E130))</f>
        <v>0</v>
      </c>
      <c r="G130" s="78" t="n">
        <f aca="false">F130*$D$6</f>
        <v>0</v>
      </c>
      <c r="H130" s="79" t="n">
        <f aca="false">((E130*$D$3)-G130)-C130+D130</f>
        <v>3.78399999999999</v>
      </c>
    </row>
    <row r="131" customFormat="false" ht="15" hidden="false" customHeight="false" outlineLevel="0" collapsed="false">
      <c r="B131" s="77" t="n">
        <v>114</v>
      </c>
      <c r="C131" s="78" t="n">
        <f aca="false">IF($D$11-B131&lt;0,0,$D$12)</f>
        <v>0</v>
      </c>
      <c r="D131" s="78" t="n">
        <f aca="false">IF(H130&lt;=$D$5,0,H130)</f>
        <v>3.78399999999999</v>
      </c>
      <c r="E131" s="78" t="n">
        <f aca="false">ABS(IF(C131=0,0,IF(D131&gt;C131,0,ROUNDUP(((C131-$D$6-D131)/$D$4),0))))</f>
        <v>0</v>
      </c>
      <c r="F131" s="78" t="n">
        <f aca="false">IF(AND(D131=0,E131=0),E131,IF(D131=0,E131-1,E131))</f>
        <v>0</v>
      </c>
      <c r="G131" s="78" t="n">
        <f aca="false">F131*$D$6</f>
        <v>0</v>
      </c>
      <c r="H131" s="79" t="n">
        <f aca="false">((E131*$D$3)-G131)-C131+D131</f>
        <v>3.78399999999999</v>
      </c>
    </row>
    <row r="132" customFormat="false" ht="15" hidden="false" customHeight="false" outlineLevel="0" collapsed="false">
      <c r="B132" s="77" t="n">
        <v>115</v>
      </c>
      <c r="C132" s="78" t="n">
        <f aca="false">IF($D$11-B132&lt;0,0,$D$12)</f>
        <v>0</v>
      </c>
      <c r="D132" s="78" t="n">
        <f aca="false">IF(H131&lt;=$D$5,0,H131)</f>
        <v>3.78399999999999</v>
      </c>
      <c r="E132" s="78" t="n">
        <f aca="false">ABS(IF(C132=0,0,IF(D132&gt;C132,0,ROUNDUP(((C132-$D$6-D132)/$D$4),0))))</f>
        <v>0</v>
      </c>
      <c r="F132" s="78" t="n">
        <f aca="false">IF(AND(D132=0,E132=0),E132,IF(D132=0,E132-1,E132))</f>
        <v>0</v>
      </c>
      <c r="G132" s="78" t="n">
        <f aca="false">F132*$D$6</f>
        <v>0</v>
      </c>
      <c r="H132" s="79" t="n">
        <f aca="false">((E132*$D$3)-G132)-C132+D132</f>
        <v>3.78399999999999</v>
      </c>
    </row>
    <row r="133" customFormat="false" ht="15" hidden="false" customHeight="false" outlineLevel="0" collapsed="false">
      <c r="B133" s="77" t="n">
        <v>116</v>
      </c>
      <c r="C133" s="78" t="n">
        <f aca="false">IF($D$11-B133&lt;0,0,$D$12)</f>
        <v>0</v>
      </c>
      <c r="D133" s="78" t="n">
        <f aca="false">IF(H132&lt;=$D$5,0,H132)</f>
        <v>3.78399999999999</v>
      </c>
      <c r="E133" s="78" t="n">
        <f aca="false">ABS(IF(C133=0,0,IF(D133&gt;C133,0,ROUNDUP(((C133-$D$6-D133)/$D$4),0))))</f>
        <v>0</v>
      </c>
      <c r="F133" s="78" t="n">
        <f aca="false">IF(AND(D133=0,E133=0),E133,IF(D133=0,E133-1,E133))</f>
        <v>0</v>
      </c>
      <c r="G133" s="78" t="n">
        <f aca="false">F133*$D$6</f>
        <v>0</v>
      </c>
      <c r="H133" s="79" t="n">
        <f aca="false">((E133*$D$3)-G133)-C133+D133</f>
        <v>3.78399999999999</v>
      </c>
    </row>
    <row r="134" customFormat="false" ht="15" hidden="false" customHeight="false" outlineLevel="0" collapsed="false">
      <c r="B134" s="77" t="n">
        <v>117</v>
      </c>
      <c r="C134" s="78" t="n">
        <f aca="false">IF($D$11-B134&lt;0,0,$D$12)</f>
        <v>0</v>
      </c>
      <c r="D134" s="78" t="n">
        <f aca="false">IF(H133&lt;=$D$5,0,H133)</f>
        <v>3.78399999999999</v>
      </c>
      <c r="E134" s="78" t="n">
        <f aca="false">ABS(IF(C134=0,0,IF(D134&gt;C134,0,ROUNDUP(((C134-$D$6-D134)/$D$4),0))))</f>
        <v>0</v>
      </c>
      <c r="F134" s="78" t="n">
        <f aca="false">IF(AND(D134=0,E134=0),E134,IF(D134=0,E134-1,E134))</f>
        <v>0</v>
      </c>
      <c r="G134" s="78" t="n">
        <f aca="false">F134*$D$6</f>
        <v>0</v>
      </c>
      <c r="H134" s="79" t="n">
        <f aca="false">((E134*$D$3)-G134)-C134+D134</f>
        <v>3.78399999999999</v>
      </c>
    </row>
    <row r="135" customFormat="false" ht="15" hidden="false" customHeight="false" outlineLevel="0" collapsed="false">
      <c r="B135" s="77" t="n">
        <v>118</v>
      </c>
      <c r="C135" s="78" t="n">
        <f aca="false">IF($D$11-B135&lt;0,0,$D$12)</f>
        <v>0</v>
      </c>
      <c r="D135" s="78" t="n">
        <f aca="false">IF(H134&lt;=$D$5,0,H134)</f>
        <v>3.78399999999999</v>
      </c>
      <c r="E135" s="78" t="n">
        <f aca="false">ABS(IF(C135=0,0,IF(D135&gt;C135,0,ROUNDUP(((C135-$D$6-D135)/$D$4),0))))</f>
        <v>0</v>
      </c>
      <c r="F135" s="78" t="n">
        <f aca="false">IF(AND(D135=0,E135=0),E135,IF(D135=0,E135-1,E135))</f>
        <v>0</v>
      </c>
      <c r="G135" s="78" t="n">
        <f aca="false">F135*$D$6</f>
        <v>0</v>
      </c>
      <c r="H135" s="79" t="n">
        <f aca="false">((E135*$D$3)-G135)-C135+D135</f>
        <v>3.78399999999999</v>
      </c>
    </row>
    <row r="136" customFormat="false" ht="15" hidden="false" customHeight="false" outlineLevel="0" collapsed="false">
      <c r="B136" s="77" t="n">
        <v>119</v>
      </c>
      <c r="C136" s="78" t="n">
        <f aca="false">IF($D$11-B136&lt;0,0,$D$12)</f>
        <v>0</v>
      </c>
      <c r="D136" s="78" t="n">
        <f aca="false">IF(H135&lt;=$D$5,0,H135)</f>
        <v>3.78399999999999</v>
      </c>
      <c r="E136" s="78" t="n">
        <f aca="false">ABS(IF(C136=0,0,IF(D136&gt;C136,0,ROUNDUP(((C136-$D$6-D136)/$D$4),0))))</f>
        <v>0</v>
      </c>
      <c r="F136" s="78" t="n">
        <f aca="false">IF(AND(D136=0,E136=0),E136,IF(D136=0,E136-1,E136))</f>
        <v>0</v>
      </c>
      <c r="G136" s="78" t="n">
        <f aca="false">F136*$D$6</f>
        <v>0</v>
      </c>
      <c r="H136" s="79" t="n">
        <f aca="false">((E136*$D$3)-G136)-C136+D136</f>
        <v>3.78399999999999</v>
      </c>
    </row>
    <row r="137" customFormat="false" ht="15" hidden="false" customHeight="false" outlineLevel="0" collapsed="false">
      <c r="B137" s="77" t="n">
        <v>120</v>
      </c>
      <c r="C137" s="78" t="n">
        <f aca="false">IF($D$11-B137&lt;0,0,$D$12)</f>
        <v>0</v>
      </c>
      <c r="D137" s="78" t="n">
        <f aca="false">IF(H136&lt;=$D$5,0,H136)</f>
        <v>3.78399999999999</v>
      </c>
      <c r="E137" s="78" t="n">
        <f aca="false">ABS(IF(C137=0,0,IF(D137&gt;C137,0,ROUNDUP(((C137-$D$6-D137)/$D$4),0))))</f>
        <v>0</v>
      </c>
      <c r="F137" s="78" t="n">
        <f aca="false">IF(AND(D137=0,E137=0),E137,IF(D137=0,E137-1,E137))</f>
        <v>0</v>
      </c>
      <c r="G137" s="78" t="n">
        <f aca="false">F137*$D$6</f>
        <v>0</v>
      </c>
      <c r="H137" s="79" t="n">
        <f aca="false">((E137*$D$3)-G137)-C137+D137</f>
        <v>3.78399999999999</v>
      </c>
    </row>
    <row r="138" customFormat="false" ht="15" hidden="false" customHeight="false" outlineLevel="0" collapsed="false">
      <c r="B138" s="77" t="n">
        <v>121</v>
      </c>
      <c r="C138" s="78" t="n">
        <f aca="false">IF($D$11-B138&lt;0,0,$D$12)</f>
        <v>0</v>
      </c>
      <c r="D138" s="78" t="n">
        <f aca="false">IF(H137&lt;=$D$5,0,H137)</f>
        <v>3.78399999999999</v>
      </c>
      <c r="E138" s="78" t="n">
        <f aca="false">ABS(IF(C138=0,0,IF(D138&gt;C138,0,ROUNDUP(((C138-$D$6-D138)/$D$4),0))))</f>
        <v>0</v>
      </c>
      <c r="F138" s="78" t="n">
        <f aca="false">IF(AND(D138=0,E138=0),E138,IF(D138=0,E138-1,E138))</f>
        <v>0</v>
      </c>
      <c r="G138" s="78" t="n">
        <f aca="false">F138*$D$6</f>
        <v>0</v>
      </c>
      <c r="H138" s="79" t="n">
        <f aca="false">((E138*$D$3)-G138)-C138+D138</f>
        <v>3.78399999999999</v>
      </c>
    </row>
    <row r="139" customFormat="false" ht="15" hidden="false" customHeight="false" outlineLevel="0" collapsed="false">
      <c r="B139" s="77" t="n">
        <v>122</v>
      </c>
      <c r="C139" s="78" t="n">
        <f aca="false">IF($D$11-B139&lt;0,0,$D$12)</f>
        <v>0</v>
      </c>
      <c r="D139" s="78" t="n">
        <f aca="false">IF(H138&lt;=$D$5,0,H138)</f>
        <v>3.78399999999999</v>
      </c>
      <c r="E139" s="78" t="n">
        <f aca="false">ABS(IF(C139=0,0,IF(D139&gt;C139,0,ROUNDUP(((C139-$D$6-D139)/$D$4),0))))</f>
        <v>0</v>
      </c>
      <c r="F139" s="78" t="n">
        <f aca="false">IF(AND(D139=0,E139=0),E139,IF(D139=0,E139-1,E139))</f>
        <v>0</v>
      </c>
      <c r="G139" s="78" t="n">
        <f aca="false">F139*$D$6</f>
        <v>0</v>
      </c>
      <c r="H139" s="79" t="n">
        <f aca="false">((E139*$D$3)-G139)-C139+D139</f>
        <v>3.78399999999999</v>
      </c>
    </row>
    <row r="140" customFormat="false" ht="15" hidden="false" customHeight="false" outlineLevel="0" collapsed="false">
      <c r="B140" s="77" t="n">
        <v>123</v>
      </c>
      <c r="C140" s="78" t="n">
        <f aca="false">IF($D$11-B140&lt;0,0,$D$12)</f>
        <v>0</v>
      </c>
      <c r="D140" s="78" t="n">
        <f aca="false">IF(H139&lt;=$D$5,0,H139)</f>
        <v>3.78399999999999</v>
      </c>
      <c r="E140" s="78" t="n">
        <f aca="false">ABS(IF(C140=0,0,IF(D140&gt;C140,0,ROUNDUP(((C140-$D$6-D140)/$D$4),0))))</f>
        <v>0</v>
      </c>
      <c r="F140" s="78" t="n">
        <f aca="false">IF(AND(D140=0,E140=0),E140,IF(D140=0,E140-1,E140))</f>
        <v>0</v>
      </c>
      <c r="G140" s="78" t="n">
        <f aca="false">F140*$D$6</f>
        <v>0</v>
      </c>
      <c r="H140" s="79" t="n">
        <f aca="false">((E140*$D$3)-G140)-C140+D140</f>
        <v>3.78399999999999</v>
      </c>
    </row>
    <row r="141" customFormat="false" ht="15" hidden="false" customHeight="false" outlineLevel="0" collapsed="false">
      <c r="B141" s="77" t="n">
        <v>124</v>
      </c>
      <c r="C141" s="78" t="n">
        <f aca="false">IF($D$11-B141&lt;0,0,$D$12)</f>
        <v>0</v>
      </c>
      <c r="D141" s="78" t="n">
        <f aca="false">IF(H140&lt;=$D$5,0,H140)</f>
        <v>3.78399999999999</v>
      </c>
      <c r="E141" s="78" t="n">
        <f aca="false">ABS(IF(C141=0,0,IF(D141&gt;C141,0,ROUNDUP(((C141-$D$6-D141)/$D$4),0))))</f>
        <v>0</v>
      </c>
      <c r="F141" s="78" t="n">
        <f aca="false">IF(AND(D141=0,E141=0),E141,IF(D141=0,E141-1,E141))</f>
        <v>0</v>
      </c>
      <c r="G141" s="78" t="n">
        <f aca="false">F141*$D$6</f>
        <v>0</v>
      </c>
      <c r="H141" s="79" t="n">
        <f aca="false">((E141*$D$3)-G141)-C141+D141</f>
        <v>3.78399999999999</v>
      </c>
    </row>
    <row r="142" customFormat="false" ht="15" hidden="false" customHeight="false" outlineLevel="0" collapsed="false">
      <c r="B142" s="77" t="n">
        <v>125</v>
      </c>
      <c r="C142" s="78" t="n">
        <f aca="false">IF($D$11-B142&lt;0,0,$D$12)</f>
        <v>0</v>
      </c>
      <c r="D142" s="78" t="n">
        <f aca="false">IF(H141&lt;=$D$5,0,H141)</f>
        <v>3.78399999999999</v>
      </c>
      <c r="E142" s="78" t="n">
        <f aca="false">ABS(IF(C142=0,0,IF(D142&gt;C142,0,ROUNDUP(((C142-$D$6-D142)/$D$4),0))))</f>
        <v>0</v>
      </c>
      <c r="F142" s="78" t="n">
        <f aca="false">IF(AND(D142=0,E142=0),E142,IF(D142=0,E142-1,E142))</f>
        <v>0</v>
      </c>
      <c r="G142" s="78" t="n">
        <f aca="false">F142*$D$6</f>
        <v>0</v>
      </c>
      <c r="H142" s="79" t="n">
        <f aca="false">((E142*$D$3)-G142)-C142+D142</f>
        <v>3.78399999999999</v>
      </c>
    </row>
    <row r="143" customFormat="false" ht="15" hidden="false" customHeight="false" outlineLevel="0" collapsed="false">
      <c r="B143" s="77" t="n">
        <v>126</v>
      </c>
      <c r="C143" s="78" t="n">
        <f aca="false">IF($D$11-B143&lt;0,0,$D$12)</f>
        <v>0</v>
      </c>
      <c r="D143" s="78" t="n">
        <f aca="false">IF(H142&lt;=$D$5,0,H142)</f>
        <v>3.78399999999999</v>
      </c>
      <c r="E143" s="78" t="n">
        <f aca="false">ABS(IF(C143=0,0,IF(D143&gt;C143,0,ROUNDUP(((C143-$D$6-D143)/$D$4),0))))</f>
        <v>0</v>
      </c>
      <c r="F143" s="78" t="n">
        <f aca="false">IF(AND(D143=0,E143=0),E143,IF(D143=0,E143-1,E143))</f>
        <v>0</v>
      </c>
      <c r="G143" s="78" t="n">
        <f aca="false">F143*$D$6</f>
        <v>0</v>
      </c>
      <c r="H143" s="79" t="n">
        <f aca="false">((E143*$D$3)-G143)-C143+D143</f>
        <v>3.78399999999999</v>
      </c>
    </row>
    <row r="144" customFormat="false" ht="15" hidden="false" customHeight="false" outlineLevel="0" collapsed="false">
      <c r="B144" s="77" t="n">
        <v>127</v>
      </c>
      <c r="C144" s="78" t="n">
        <f aca="false">IF($D$11-B144&lt;0,0,$D$12)</f>
        <v>0</v>
      </c>
      <c r="D144" s="78" t="n">
        <f aca="false">IF(H143&lt;=$D$5,0,H143)</f>
        <v>3.78399999999999</v>
      </c>
      <c r="E144" s="78" t="n">
        <f aca="false">ABS(IF(C144=0,0,IF(D144&gt;C144,0,ROUNDUP(((C144-$D$6-D144)/$D$4),0))))</f>
        <v>0</v>
      </c>
      <c r="F144" s="78" t="n">
        <f aca="false">IF(AND(D144=0,E144=0),E144,IF(D144=0,E144-1,E144))</f>
        <v>0</v>
      </c>
      <c r="G144" s="78" t="n">
        <f aca="false">F144*$D$6</f>
        <v>0</v>
      </c>
      <c r="H144" s="79" t="n">
        <f aca="false">((E144*$D$3)-G144)-C144+D144</f>
        <v>3.78399999999999</v>
      </c>
    </row>
    <row r="145" customFormat="false" ht="15" hidden="false" customHeight="false" outlineLevel="0" collapsed="false">
      <c r="B145" s="77" t="n">
        <v>128</v>
      </c>
      <c r="C145" s="78" t="n">
        <f aca="false">IF($D$11-B145&lt;0,0,$D$12)</f>
        <v>0</v>
      </c>
      <c r="D145" s="78" t="n">
        <f aca="false">IF(H144&lt;=$D$5,0,H144)</f>
        <v>3.78399999999999</v>
      </c>
      <c r="E145" s="78" t="n">
        <f aca="false">ABS(IF(C145=0,0,IF(D145&gt;C145,0,ROUNDUP(((C145-$D$6-D145)/$D$4),0))))</f>
        <v>0</v>
      </c>
      <c r="F145" s="78" t="n">
        <f aca="false">IF(AND(D145=0,E145=0),E145,IF(D145=0,E145-1,E145))</f>
        <v>0</v>
      </c>
      <c r="G145" s="78" t="n">
        <f aca="false">F145*$D$6</f>
        <v>0</v>
      </c>
      <c r="H145" s="79" t="n">
        <f aca="false">((E145*$D$3)-G145)-C145+D145</f>
        <v>3.78399999999999</v>
      </c>
    </row>
    <row r="146" customFormat="false" ht="15" hidden="false" customHeight="false" outlineLevel="0" collapsed="false">
      <c r="B146" s="77" t="n">
        <v>129</v>
      </c>
      <c r="C146" s="78" t="n">
        <f aca="false">IF($D$11-B146&lt;0,0,$D$12)</f>
        <v>0</v>
      </c>
      <c r="D146" s="78" t="n">
        <f aca="false">IF(H145&lt;=$D$5,0,H145)</f>
        <v>3.78399999999999</v>
      </c>
      <c r="E146" s="78" t="n">
        <f aca="false">ABS(IF(C146=0,0,IF(D146&gt;C146,0,ROUNDUP(((C146-$D$6-D146)/$D$4),0))))</f>
        <v>0</v>
      </c>
      <c r="F146" s="78" t="n">
        <f aca="false">IF(AND(D146=0,E146=0),E146,IF(D146=0,E146-1,E146))</f>
        <v>0</v>
      </c>
      <c r="G146" s="78" t="n">
        <f aca="false">F146*$D$6</f>
        <v>0</v>
      </c>
      <c r="H146" s="79" t="n">
        <f aca="false">((E146*$D$3)-G146)-C146+D146</f>
        <v>3.78399999999999</v>
      </c>
    </row>
    <row r="147" customFormat="false" ht="15" hidden="false" customHeight="false" outlineLevel="0" collapsed="false">
      <c r="B147" s="77" t="n">
        <v>130</v>
      </c>
      <c r="C147" s="78" t="n">
        <f aca="false">IF($D$11-B147&lt;0,0,$D$12)</f>
        <v>0</v>
      </c>
      <c r="D147" s="78" t="n">
        <f aca="false">IF(H146&lt;=$D$5,0,H146)</f>
        <v>3.78399999999999</v>
      </c>
      <c r="E147" s="78" t="n">
        <f aca="false">ABS(IF(C147=0,0,IF(D147&gt;C147,0,ROUNDUP(((C147-$D$6-D147)/$D$4),0))))</f>
        <v>0</v>
      </c>
      <c r="F147" s="78" t="n">
        <f aca="false">IF(AND(D147=0,E147=0),E147,IF(D147=0,E147-1,E147))</f>
        <v>0</v>
      </c>
      <c r="G147" s="78" t="n">
        <f aca="false">F147*$D$6</f>
        <v>0</v>
      </c>
      <c r="H147" s="79" t="n">
        <f aca="false">((E147*$D$3)-G147)-C147+D147</f>
        <v>3.78399999999999</v>
      </c>
    </row>
    <row r="148" customFormat="false" ht="15" hidden="false" customHeight="false" outlineLevel="0" collapsed="false">
      <c r="B148" s="77" t="n">
        <v>131</v>
      </c>
      <c r="C148" s="78" t="n">
        <f aca="false">IF($D$11-B148&lt;0,0,$D$12)</f>
        <v>0</v>
      </c>
      <c r="D148" s="78" t="n">
        <f aca="false">IF(H147&lt;=$D$5,0,H147)</f>
        <v>3.78399999999999</v>
      </c>
      <c r="E148" s="78" t="n">
        <f aca="false">ABS(IF(C148=0,0,IF(D148&gt;C148,0,ROUNDUP(((C148-$D$6-D148)/$D$4),0))))</f>
        <v>0</v>
      </c>
      <c r="F148" s="78" t="n">
        <f aca="false">IF(AND(D148=0,E148=0),E148,IF(D148=0,E148-1,E148))</f>
        <v>0</v>
      </c>
      <c r="G148" s="78" t="n">
        <f aca="false">F148*$D$6</f>
        <v>0</v>
      </c>
      <c r="H148" s="79" t="n">
        <f aca="false">((E148*$D$3)-G148)-C148+D148</f>
        <v>3.78399999999999</v>
      </c>
    </row>
    <row r="149" customFormat="false" ht="15" hidden="false" customHeight="false" outlineLevel="0" collapsed="false">
      <c r="B149" s="77" t="n">
        <v>132</v>
      </c>
      <c r="C149" s="78" t="n">
        <f aca="false">IF($D$11-B149&lt;0,0,$D$12)</f>
        <v>0</v>
      </c>
      <c r="D149" s="78" t="n">
        <f aca="false">IF(H148&lt;=$D$5,0,H148)</f>
        <v>3.78399999999999</v>
      </c>
      <c r="E149" s="78" t="n">
        <f aca="false">ABS(IF(C149=0,0,IF(D149&gt;C149,0,ROUNDUP(((C149-$D$6-D149)/$D$4),0))))</f>
        <v>0</v>
      </c>
      <c r="F149" s="78" t="n">
        <f aca="false">IF(AND(D149=0,E149=0),E149,IF(D149=0,E149-1,E149))</f>
        <v>0</v>
      </c>
      <c r="G149" s="78" t="n">
        <f aca="false">F149*$D$6</f>
        <v>0</v>
      </c>
      <c r="H149" s="79" t="n">
        <f aca="false">((E149*$D$3)-G149)-C149+D149</f>
        <v>3.78399999999999</v>
      </c>
    </row>
    <row r="150" customFormat="false" ht="15" hidden="false" customHeight="false" outlineLevel="0" collapsed="false">
      <c r="B150" s="77" t="n">
        <v>133</v>
      </c>
      <c r="C150" s="78" t="n">
        <f aca="false">IF($D$11-B150&lt;0,0,$D$12)</f>
        <v>0</v>
      </c>
      <c r="D150" s="78" t="n">
        <f aca="false">IF(H149&lt;=$D$5,0,H149)</f>
        <v>3.78399999999999</v>
      </c>
      <c r="E150" s="78" t="n">
        <f aca="false">ABS(IF(C150=0,0,IF(D150&gt;C150,0,ROUNDUP(((C150-$D$6-D150)/$D$4),0))))</f>
        <v>0</v>
      </c>
      <c r="F150" s="78" t="n">
        <f aca="false">IF(AND(D150=0,E150=0),E150,IF(D150=0,E150-1,E150))</f>
        <v>0</v>
      </c>
      <c r="G150" s="78" t="n">
        <f aca="false">F150*$D$6</f>
        <v>0</v>
      </c>
      <c r="H150" s="79" t="n">
        <f aca="false">((E150*$D$3)-G150)-C150+D150</f>
        <v>3.78399999999999</v>
      </c>
    </row>
    <row r="151" customFormat="false" ht="15" hidden="false" customHeight="false" outlineLevel="0" collapsed="false">
      <c r="B151" s="77" t="n">
        <v>134</v>
      </c>
      <c r="C151" s="78" t="n">
        <f aca="false">IF($D$11-B151&lt;0,0,$D$12)</f>
        <v>0</v>
      </c>
      <c r="D151" s="78" t="n">
        <f aca="false">IF(H150&lt;=$D$5,0,H150)</f>
        <v>3.78399999999999</v>
      </c>
      <c r="E151" s="78" t="n">
        <f aca="false">ABS(IF(C151=0,0,IF(D151&gt;C151,0,ROUNDUP(((C151-$D$6-D151)/$D$4),0))))</f>
        <v>0</v>
      </c>
      <c r="F151" s="78" t="n">
        <f aca="false">IF(AND(D151=0,E151=0),E151,IF(D151=0,E151-1,E151))</f>
        <v>0</v>
      </c>
      <c r="G151" s="78" t="n">
        <f aca="false">F151*$D$6</f>
        <v>0</v>
      </c>
      <c r="H151" s="79" t="n">
        <f aca="false">((E151*$D$3)-G151)-C151+D151</f>
        <v>3.78399999999999</v>
      </c>
    </row>
    <row r="152" customFormat="false" ht="15" hidden="false" customHeight="false" outlineLevel="0" collapsed="false">
      <c r="B152" s="77" t="n">
        <v>135</v>
      </c>
      <c r="C152" s="78" t="n">
        <f aca="false">IF($D$11-B152&lt;0,0,$D$12)</f>
        <v>0</v>
      </c>
      <c r="D152" s="78" t="n">
        <f aca="false">IF(H151&lt;=$D$5,0,H151)</f>
        <v>3.78399999999999</v>
      </c>
      <c r="E152" s="78" t="n">
        <f aca="false">ABS(IF(C152=0,0,IF(D152&gt;C152,0,ROUNDUP(((C152-$D$6-D152)/$D$4),0))))</f>
        <v>0</v>
      </c>
      <c r="F152" s="78" t="n">
        <f aca="false">IF(AND(D152=0,E152=0),E152,IF(D152=0,E152-1,E152))</f>
        <v>0</v>
      </c>
      <c r="G152" s="78" t="n">
        <f aca="false">F152*$D$6</f>
        <v>0</v>
      </c>
      <c r="H152" s="79" t="n">
        <f aca="false">((E152*$D$3)-G152)-C152+D152</f>
        <v>3.78399999999999</v>
      </c>
    </row>
    <row r="153" customFormat="false" ht="15" hidden="false" customHeight="false" outlineLevel="0" collapsed="false">
      <c r="B153" s="77" t="n">
        <v>136</v>
      </c>
      <c r="C153" s="78" t="n">
        <f aca="false">IF($D$11-B153&lt;0,0,$D$12)</f>
        <v>0</v>
      </c>
      <c r="D153" s="78" t="n">
        <f aca="false">IF(H152&lt;=$D$5,0,H152)</f>
        <v>3.78399999999999</v>
      </c>
      <c r="E153" s="78" t="n">
        <f aca="false">ABS(IF(C153=0,0,IF(D153&gt;C153,0,ROUNDUP(((C153-$D$6-D153)/$D$4),0))))</f>
        <v>0</v>
      </c>
      <c r="F153" s="78" t="n">
        <f aca="false">IF(AND(D153=0,E153=0),E153,IF(D153=0,E153-1,E153))</f>
        <v>0</v>
      </c>
      <c r="G153" s="78" t="n">
        <f aca="false">F153*$D$6</f>
        <v>0</v>
      </c>
      <c r="H153" s="79" t="n">
        <f aca="false">((E153*$D$3)-G153)-C153+D153</f>
        <v>3.78399999999999</v>
      </c>
    </row>
    <row r="154" customFormat="false" ht="15" hidden="false" customHeight="false" outlineLevel="0" collapsed="false">
      <c r="B154" s="77" t="n">
        <v>137</v>
      </c>
      <c r="C154" s="78" t="n">
        <f aca="false">IF($D$11-B154&lt;0,0,$D$12)</f>
        <v>0</v>
      </c>
      <c r="D154" s="78" t="n">
        <f aca="false">IF(H153&lt;=$D$5,0,H153)</f>
        <v>3.78399999999999</v>
      </c>
      <c r="E154" s="78" t="n">
        <f aca="false">ABS(IF(C154=0,0,IF(D154&gt;C154,0,ROUNDUP(((C154-$D$6-D154)/$D$4),0))))</f>
        <v>0</v>
      </c>
      <c r="F154" s="78" t="n">
        <f aca="false">IF(AND(D154=0,E154=0),E154,IF(D154=0,E154-1,E154))</f>
        <v>0</v>
      </c>
      <c r="G154" s="78" t="n">
        <f aca="false">F154*$D$6</f>
        <v>0</v>
      </c>
      <c r="H154" s="79" t="n">
        <f aca="false">((E154*$D$3)-G154)-C154+D154</f>
        <v>3.78399999999999</v>
      </c>
    </row>
    <row r="155" customFormat="false" ht="15" hidden="false" customHeight="false" outlineLevel="0" collapsed="false">
      <c r="B155" s="77" t="n">
        <v>138</v>
      </c>
      <c r="C155" s="78" t="n">
        <f aca="false">IF($D$11-B155&lt;0,0,$D$12)</f>
        <v>0</v>
      </c>
      <c r="D155" s="78" t="n">
        <f aca="false">IF(H154&lt;=$D$5,0,H154)</f>
        <v>3.78399999999999</v>
      </c>
      <c r="E155" s="78" t="n">
        <f aca="false">ABS(IF(C155=0,0,IF(D155&gt;C155,0,ROUNDUP(((C155-$D$6-D155)/$D$4),0))))</f>
        <v>0</v>
      </c>
      <c r="F155" s="78" t="n">
        <f aca="false">IF(AND(D155=0,E155=0),E155,IF(D155=0,E155-1,E155))</f>
        <v>0</v>
      </c>
      <c r="G155" s="78" t="n">
        <f aca="false">F155*$D$6</f>
        <v>0</v>
      </c>
      <c r="H155" s="79" t="n">
        <f aca="false">((E155*$D$3)-G155)-C155+D155</f>
        <v>3.78399999999999</v>
      </c>
    </row>
    <row r="156" customFormat="false" ht="15" hidden="false" customHeight="false" outlineLevel="0" collapsed="false">
      <c r="B156" s="77" t="n">
        <v>139</v>
      </c>
      <c r="C156" s="78" t="n">
        <f aca="false">IF($D$11-B156&lt;0,0,$D$12)</f>
        <v>0</v>
      </c>
      <c r="D156" s="78" t="n">
        <f aca="false">IF(H155&lt;=$D$5,0,H155)</f>
        <v>3.78399999999999</v>
      </c>
      <c r="E156" s="78" t="n">
        <f aca="false">ABS(IF(C156=0,0,IF(D156&gt;C156,0,ROUNDUP(((C156-$D$6-D156)/$D$4),0))))</f>
        <v>0</v>
      </c>
      <c r="F156" s="78" t="n">
        <f aca="false">IF(AND(D156=0,E156=0),E156,IF(D156=0,E156-1,E156))</f>
        <v>0</v>
      </c>
      <c r="G156" s="78" t="n">
        <f aca="false">F156*$D$6</f>
        <v>0</v>
      </c>
      <c r="H156" s="79" t="n">
        <f aca="false">((E156*$D$3)-G156)-C156+D156</f>
        <v>3.78399999999999</v>
      </c>
    </row>
    <row r="157" customFormat="false" ht="15" hidden="false" customHeight="false" outlineLevel="0" collapsed="false">
      <c r="B157" s="77" t="n">
        <v>140</v>
      </c>
      <c r="C157" s="78" t="n">
        <f aca="false">IF($D$11-B157&lt;0,0,$D$12)</f>
        <v>0</v>
      </c>
      <c r="D157" s="78" t="n">
        <f aca="false">IF(H156&lt;=$D$5,0,H156)</f>
        <v>3.78399999999999</v>
      </c>
      <c r="E157" s="78" t="n">
        <f aca="false">ABS(IF(C157=0,0,IF(D157&gt;C157,0,ROUNDUP(((C157-$D$6-D157)/$D$4),0))))</f>
        <v>0</v>
      </c>
      <c r="F157" s="78" t="n">
        <f aca="false">IF(AND(D157=0,E157=0),E157,IF(D157=0,E157-1,E157))</f>
        <v>0</v>
      </c>
      <c r="G157" s="78" t="n">
        <f aca="false">F157*$D$6</f>
        <v>0</v>
      </c>
      <c r="H157" s="79" t="n">
        <f aca="false">((E157*$D$3)-G157)-C157+D157</f>
        <v>3.78399999999999</v>
      </c>
    </row>
    <row r="158" customFormat="false" ht="15" hidden="false" customHeight="false" outlineLevel="0" collapsed="false">
      <c r="B158" s="77" t="n">
        <v>141</v>
      </c>
      <c r="C158" s="78" t="n">
        <f aca="false">IF($D$11-B158&lt;0,0,$D$12)</f>
        <v>0</v>
      </c>
      <c r="D158" s="78" t="n">
        <f aca="false">IF(H157&lt;=$D$5,0,H157)</f>
        <v>3.78399999999999</v>
      </c>
      <c r="E158" s="78" t="n">
        <f aca="false">ABS(IF(C158=0,0,IF(D158&gt;C158,0,ROUNDUP(((C158-$D$6-D158)/$D$4),0))))</f>
        <v>0</v>
      </c>
      <c r="F158" s="78" t="n">
        <f aca="false">IF(AND(D158=0,E158=0),E158,IF(D158=0,E158-1,E158))</f>
        <v>0</v>
      </c>
      <c r="G158" s="78" t="n">
        <f aca="false">F158*$D$6</f>
        <v>0</v>
      </c>
      <c r="H158" s="79" t="n">
        <f aca="false">((E158*$D$3)-G158)-C158+D158</f>
        <v>3.78399999999999</v>
      </c>
    </row>
    <row r="159" customFormat="false" ht="15" hidden="false" customHeight="false" outlineLevel="0" collapsed="false">
      <c r="B159" s="77" t="n">
        <v>142</v>
      </c>
      <c r="C159" s="78" t="n">
        <f aca="false">IF($D$11-B159&lt;0,0,$D$12)</f>
        <v>0</v>
      </c>
      <c r="D159" s="78" t="n">
        <f aca="false">IF(H158&lt;=$D$5,0,H158)</f>
        <v>3.78399999999999</v>
      </c>
      <c r="E159" s="78" t="n">
        <f aca="false">ABS(IF(C159=0,0,IF(D159&gt;C159,0,ROUNDUP(((C159-$D$6-D159)/$D$4),0))))</f>
        <v>0</v>
      </c>
      <c r="F159" s="78" t="n">
        <f aca="false">IF(AND(D159=0,E159=0),E159,IF(D159=0,E159-1,E159))</f>
        <v>0</v>
      </c>
      <c r="G159" s="78" t="n">
        <f aca="false">F159*$D$6</f>
        <v>0</v>
      </c>
      <c r="H159" s="79" t="n">
        <f aca="false">((E159*$D$3)-G159)-C159+D159</f>
        <v>3.78399999999999</v>
      </c>
    </row>
    <row r="160" customFormat="false" ht="15" hidden="false" customHeight="false" outlineLevel="0" collapsed="false">
      <c r="B160" s="77" t="n">
        <v>143</v>
      </c>
      <c r="C160" s="78" t="n">
        <f aca="false">IF($D$11-B160&lt;0,0,$D$12)</f>
        <v>0</v>
      </c>
      <c r="D160" s="78" t="n">
        <f aca="false">IF(H159&lt;=$D$5,0,H159)</f>
        <v>3.78399999999999</v>
      </c>
      <c r="E160" s="78" t="n">
        <f aca="false">ABS(IF(C160=0,0,IF(D160&gt;C160,0,ROUNDUP(((C160-$D$6-D160)/$D$4),0))))</f>
        <v>0</v>
      </c>
      <c r="F160" s="78" t="n">
        <f aca="false">IF(AND(D160=0,E160=0),E160,IF(D160=0,E160-1,E160))</f>
        <v>0</v>
      </c>
      <c r="G160" s="78" t="n">
        <f aca="false">F160*$D$6</f>
        <v>0</v>
      </c>
      <c r="H160" s="79" t="n">
        <f aca="false">((E160*$D$3)-G160)-C160+D160</f>
        <v>3.78399999999999</v>
      </c>
    </row>
    <row r="161" customFormat="false" ht="15" hidden="false" customHeight="false" outlineLevel="0" collapsed="false">
      <c r="B161" s="77" t="n">
        <v>144</v>
      </c>
      <c r="C161" s="78" t="n">
        <f aca="false">IF($D$11-B161&lt;0,0,$D$12)</f>
        <v>0</v>
      </c>
      <c r="D161" s="78" t="n">
        <f aca="false">IF(H160&lt;=$D$5,0,H160)</f>
        <v>3.78399999999999</v>
      </c>
      <c r="E161" s="78" t="n">
        <f aca="false">ABS(IF(C161=0,0,IF(D161&gt;C161,0,ROUNDUP(((C161-$D$6-D161)/$D$4),0))))</f>
        <v>0</v>
      </c>
      <c r="F161" s="78" t="n">
        <f aca="false">IF(AND(D161=0,E161=0),E161,IF(D161=0,E161-1,E161))</f>
        <v>0</v>
      </c>
      <c r="G161" s="78" t="n">
        <f aca="false">F161*$D$6</f>
        <v>0</v>
      </c>
      <c r="H161" s="79" t="n">
        <f aca="false">((E161*$D$3)-G161)-C161+D161</f>
        <v>3.78399999999999</v>
      </c>
    </row>
    <row r="162" customFormat="false" ht="15" hidden="false" customHeight="false" outlineLevel="0" collapsed="false">
      <c r="B162" s="77" t="n">
        <v>145</v>
      </c>
      <c r="C162" s="78" t="n">
        <f aca="false">IF($D$11-B162&lt;0,0,$D$12)</f>
        <v>0</v>
      </c>
      <c r="D162" s="78" t="n">
        <f aca="false">IF(H161&lt;=$D$5,0,H161)</f>
        <v>3.78399999999999</v>
      </c>
      <c r="E162" s="78" t="n">
        <f aca="false">ABS(IF(C162=0,0,IF(D162&gt;C162,0,ROUNDUP(((C162-$D$6-D162)/$D$4),0))))</f>
        <v>0</v>
      </c>
      <c r="F162" s="78" t="n">
        <f aca="false">IF(AND(D162=0,E162=0),E162,IF(D162=0,E162-1,E162))</f>
        <v>0</v>
      </c>
      <c r="G162" s="78" t="n">
        <f aca="false">F162*$D$6</f>
        <v>0</v>
      </c>
      <c r="H162" s="79" t="n">
        <f aca="false">((E162*$D$3)-G162)-C162+D162</f>
        <v>3.78399999999999</v>
      </c>
    </row>
    <row r="163" customFormat="false" ht="15" hidden="false" customHeight="false" outlineLevel="0" collapsed="false">
      <c r="B163" s="77" t="n">
        <v>146</v>
      </c>
      <c r="C163" s="78" t="n">
        <f aca="false">IF($D$11-B163&lt;0,0,$D$12)</f>
        <v>0</v>
      </c>
      <c r="D163" s="78" t="n">
        <f aca="false">IF(H162&lt;=$D$5,0,H162)</f>
        <v>3.78399999999999</v>
      </c>
      <c r="E163" s="78" t="n">
        <f aca="false">ABS(IF(C163=0,0,IF(D163&gt;C163,0,ROUNDUP(((C163-$D$6-D163)/$D$4),0))))</f>
        <v>0</v>
      </c>
      <c r="F163" s="78" t="n">
        <f aca="false">IF(AND(D163=0,E163=0),E163,IF(D163=0,E163-1,E163))</f>
        <v>0</v>
      </c>
      <c r="G163" s="78" t="n">
        <f aca="false">F163*$D$6</f>
        <v>0</v>
      </c>
      <c r="H163" s="79" t="n">
        <f aca="false">((E163*$D$3)-G163)-C163+D163</f>
        <v>3.78399999999999</v>
      </c>
    </row>
    <row r="164" customFormat="false" ht="15" hidden="false" customHeight="false" outlineLevel="0" collapsed="false">
      <c r="B164" s="77" t="n">
        <v>147</v>
      </c>
      <c r="C164" s="78" t="n">
        <f aca="false">IF($D$11-B164&lt;0,0,$D$12)</f>
        <v>0</v>
      </c>
      <c r="D164" s="78" t="n">
        <f aca="false">IF(H163&lt;=$D$5,0,H163)</f>
        <v>3.78399999999999</v>
      </c>
      <c r="E164" s="78" t="n">
        <f aca="false">ABS(IF(C164=0,0,IF(D164&gt;C164,0,ROUNDUP(((C164-$D$6-D164)/$D$4),0))))</f>
        <v>0</v>
      </c>
      <c r="F164" s="78" t="n">
        <f aca="false">IF(AND(D164=0,E164=0),E164,IF(D164=0,E164-1,E164))</f>
        <v>0</v>
      </c>
      <c r="G164" s="78" t="n">
        <f aca="false">F164*$D$6</f>
        <v>0</v>
      </c>
      <c r="H164" s="79" t="n">
        <f aca="false">((E164*$D$3)-G164)-C164+D164</f>
        <v>3.78399999999999</v>
      </c>
    </row>
    <row r="165" customFormat="false" ht="15" hidden="false" customHeight="false" outlineLevel="0" collapsed="false">
      <c r="B165" s="77" t="n">
        <v>148</v>
      </c>
      <c r="C165" s="78" t="n">
        <f aca="false">IF($D$11-B165&lt;0,0,$D$12)</f>
        <v>0</v>
      </c>
      <c r="D165" s="78" t="n">
        <f aca="false">IF(H164&lt;=$D$5,0,H164)</f>
        <v>3.78399999999999</v>
      </c>
      <c r="E165" s="78" t="n">
        <f aca="false">ABS(IF(C165=0,0,IF(D165&gt;C165,0,ROUNDUP(((C165-$D$6-D165)/$D$4),0))))</f>
        <v>0</v>
      </c>
      <c r="F165" s="78" t="n">
        <f aca="false">IF(AND(D165=0,E165=0),E165,IF(D165=0,E165-1,E165))</f>
        <v>0</v>
      </c>
      <c r="G165" s="78" t="n">
        <f aca="false">F165*$D$6</f>
        <v>0</v>
      </c>
      <c r="H165" s="79" t="n">
        <f aca="false">((E165*$D$3)-G165)-C165+D165</f>
        <v>3.78399999999999</v>
      </c>
    </row>
    <row r="166" customFormat="false" ht="15" hidden="false" customHeight="false" outlineLevel="0" collapsed="false">
      <c r="B166" s="77" t="n">
        <v>149</v>
      </c>
      <c r="C166" s="78" t="n">
        <f aca="false">IF($D$11-B166&lt;0,0,$D$12)</f>
        <v>0</v>
      </c>
      <c r="D166" s="78" t="n">
        <f aca="false">IF(H165&lt;=$D$5,0,H165)</f>
        <v>3.78399999999999</v>
      </c>
      <c r="E166" s="78" t="n">
        <f aca="false">ABS(IF(C166=0,0,IF(D166&gt;C166,0,ROUNDUP(((C166-$D$6-D166)/$D$4),0))))</f>
        <v>0</v>
      </c>
      <c r="F166" s="78" t="n">
        <f aca="false">IF(AND(D166=0,E166=0),E166,IF(D166=0,E166-1,E166))</f>
        <v>0</v>
      </c>
      <c r="G166" s="78" t="n">
        <f aca="false">F166*$D$6</f>
        <v>0</v>
      </c>
      <c r="H166" s="79" t="n">
        <f aca="false">((E166*$D$3)-G166)-C166+D166</f>
        <v>3.78399999999999</v>
      </c>
    </row>
    <row r="167" customFormat="false" ht="15" hidden="false" customHeight="false" outlineLevel="0" collapsed="false">
      <c r="B167" s="77" t="n">
        <v>150</v>
      </c>
      <c r="C167" s="78" t="n">
        <f aca="false">IF($D$11-B167&lt;0,0,$D$12)</f>
        <v>0</v>
      </c>
      <c r="D167" s="78" t="n">
        <f aca="false">IF(H166&lt;=$D$5,0,H166)</f>
        <v>3.78399999999999</v>
      </c>
      <c r="E167" s="78" t="n">
        <f aca="false">ABS(IF(C167=0,0,IF(D167&gt;C167,0,ROUNDUP(((C167-$D$6-D167)/$D$4),0))))</f>
        <v>0</v>
      </c>
      <c r="F167" s="78" t="n">
        <f aca="false">IF(AND(D167=0,E167=0),E167,IF(D167=0,E167-1,E167))</f>
        <v>0</v>
      </c>
      <c r="G167" s="78" t="n">
        <f aca="false">F167*$D$6</f>
        <v>0</v>
      </c>
      <c r="H167" s="79" t="n">
        <f aca="false">((E167*$D$3)-G167)-C167+D167</f>
        <v>3.78399999999999</v>
      </c>
    </row>
    <row r="168" customFormat="false" ht="15" hidden="false" customHeight="false" outlineLevel="0" collapsed="false">
      <c r="B168" s="77" t="n">
        <v>151</v>
      </c>
      <c r="C168" s="78" t="n">
        <f aca="false">IF($D$11-B168&lt;0,0,$D$12)</f>
        <v>0</v>
      </c>
      <c r="D168" s="78" t="n">
        <f aca="false">IF(H167&lt;=$D$5,0,H167)</f>
        <v>3.78399999999999</v>
      </c>
      <c r="E168" s="78" t="n">
        <f aca="false">ABS(IF(C168=0,0,IF(D168&gt;C168,0,ROUNDUP(((C168-$D$6-D168)/$D$4),0))))</f>
        <v>0</v>
      </c>
      <c r="F168" s="78" t="n">
        <f aca="false">IF(AND(D168=0,E168=0),E168,IF(D168=0,E168-1,E168))</f>
        <v>0</v>
      </c>
      <c r="G168" s="78" t="n">
        <f aca="false">F168*$D$6</f>
        <v>0</v>
      </c>
      <c r="H168" s="79" t="n">
        <f aca="false">((E168*$D$3)-G168)-C168+D168</f>
        <v>3.78399999999999</v>
      </c>
    </row>
    <row r="169" customFormat="false" ht="15" hidden="false" customHeight="false" outlineLevel="0" collapsed="false">
      <c r="B169" s="77" t="n">
        <v>152</v>
      </c>
      <c r="C169" s="78" t="n">
        <f aca="false">IF($D$11-B169&lt;0,0,$D$12)</f>
        <v>0</v>
      </c>
      <c r="D169" s="78" t="n">
        <f aca="false">IF(H168&lt;=$D$5,0,H168)</f>
        <v>3.78399999999999</v>
      </c>
      <c r="E169" s="78" t="n">
        <f aca="false">ABS(IF(C169=0,0,IF(D169&gt;C169,0,ROUNDUP(((C169-$D$6-D169)/$D$4),0))))</f>
        <v>0</v>
      </c>
      <c r="F169" s="78" t="n">
        <f aca="false">IF(AND(D169=0,E169=0),E169,IF(D169=0,E169-1,E169))</f>
        <v>0</v>
      </c>
      <c r="G169" s="78" t="n">
        <f aca="false">F169*$D$6</f>
        <v>0</v>
      </c>
      <c r="H169" s="79" t="n">
        <f aca="false">((E169*$D$3)-G169)-C169+D169</f>
        <v>3.78399999999999</v>
      </c>
    </row>
    <row r="170" customFormat="false" ht="15" hidden="false" customHeight="false" outlineLevel="0" collapsed="false">
      <c r="B170" s="77" t="n">
        <v>153</v>
      </c>
      <c r="C170" s="78" t="n">
        <f aca="false">IF($D$11-B170&lt;0,0,$D$12)</f>
        <v>0</v>
      </c>
      <c r="D170" s="78" t="n">
        <f aca="false">IF(H169&lt;=$D$5,0,H169)</f>
        <v>3.78399999999999</v>
      </c>
      <c r="E170" s="78" t="n">
        <f aca="false">ABS(IF(C170=0,0,IF(D170&gt;C170,0,ROUNDUP(((C170-$D$6-D170)/$D$4),0))))</f>
        <v>0</v>
      </c>
      <c r="F170" s="78" t="n">
        <f aca="false">IF(AND(D170=0,E170=0),E170,IF(D170=0,E170-1,E170))</f>
        <v>0</v>
      </c>
      <c r="G170" s="78" t="n">
        <f aca="false">F170*$D$6</f>
        <v>0</v>
      </c>
      <c r="H170" s="79" t="n">
        <f aca="false">((E170*$D$3)-G170)-C170+D170</f>
        <v>3.78399999999999</v>
      </c>
    </row>
    <row r="171" customFormat="false" ht="15" hidden="false" customHeight="false" outlineLevel="0" collapsed="false">
      <c r="B171" s="77" t="n">
        <v>154</v>
      </c>
      <c r="C171" s="78" t="n">
        <f aca="false">IF($D$11-B171&lt;0,0,$D$12)</f>
        <v>0</v>
      </c>
      <c r="D171" s="78" t="n">
        <f aca="false">IF(H170&lt;=$D$5,0,H170)</f>
        <v>3.78399999999999</v>
      </c>
      <c r="E171" s="78" t="n">
        <f aca="false">ABS(IF(C171=0,0,IF(D171&gt;C171,0,ROUNDUP(((C171-$D$6-D171)/$D$4),0))))</f>
        <v>0</v>
      </c>
      <c r="F171" s="78" t="n">
        <f aca="false">IF(AND(D171=0,E171=0),E171,IF(D171=0,E171-1,E171))</f>
        <v>0</v>
      </c>
      <c r="G171" s="78" t="n">
        <f aca="false">F171*$D$6</f>
        <v>0</v>
      </c>
      <c r="H171" s="79" t="n">
        <f aca="false">((E171*$D$3)-G171)-C171+D171</f>
        <v>3.78399999999999</v>
      </c>
    </row>
    <row r="172" customFormat="false" ht="15" hidden="false" customHeight="false" outlineLevel="0" collapsed="false">
      <c r="B172" s="77" t="n">
        <v>155</v>
      </c>
      <c r="C172" s="78" t="n">
        <f aca="false">IF($D$11-B172&lt;0,0,$D$12)</f>
        <v>0</v>
      </c>
      <c r="D172" s="78" t="n">
        <f aca="false">IF(H171&lt;=$D$5,0,H171)</f>
        <v>3.78399999999999</v>
      </c>
      <c r="E172" s="78" t="n">
        <f aca="false">ABS(IF(C172=0,0,IF(D172&gt;C172,0,ROUNDUP(((C172-$D$6-D172)/$D$4),0))))</f>
        <v>0</v>
      </c>
      <c r="F172" s="78" t="n">
        <f aca="false">IF(AND(D172=0,E172=0),E172,IF(D172=0,E172-1,E172))</f>
        <v>0</v>
      </c>
      <c r="G172" s="78" t="n">
        <f aca="false">F172*$D$6</f>
        <v>0</v>
      </c>
      <c r="H172" s="79" t="n">
        <f aca="false">((E172*$D$3)-G172)-C172+D172</f>
        <v>3.78399999999999</v>
      </c>
    </row>
    <row r="173" customFormat="false" ht="15" hidden="false" customHeight="false" outlineLevel="0" collapsed="false">
      <c r="B173" s="77" t="n">
        <v>156</v>
      </c>
      <c r="C173" s="78" t="n">
        <f aca="false">IF($D$11-B173&lt;0,0,$D$12)</f>
        <v>0</v>
      </c>
      <c r="D173" s="78" t="n">
        <f aca="false">IF(H172&lt;=$D$5,0,H172)</f>
        <v>3.78399999999999</v>
      </c>
      <c r="E173" s="78" t="n">
        <f aca="false">ABS(IF(C173=0,0,IF(D173&gt;C173,0,ROUNDUP(((C173-$D$6-D173)/$D$4),0))))</f>
        <v>0</v>
      </c>
      <c r="F173" s="78" t="n">
        <f aca="false">IF(AND(D173=0,E173=0),E173,IF(D173=0,E173-1,E173))</f>
        <v>0</v>
      </c>
      <c r="G173" s="78" t="n">
        <f aca="false">F173*$D$6</f>
        <v>0</v>
      </c>
      <c r="H173" s="79" t="n">
        <f aca="false">((E173*$D$3)-G173)-C173+D173</f>
        <v>3.78399999999999</v>
      </c>
    </row>
    <row r="174" customFormat="false" ht="15" hidden="false" customHeight="false" outlineLevel="0" collapsed="false">
      <c r="B174" s="77" t="n">
        <v>157</v>
      </c>
      <c r="C174" s="78" t="n">
        <f aca="false">IF($D$11-B174&lt;0,0,$D$12)</f>
        <v>0</v>
      </c>
      <c r="D174" s="78" t="n">
        <f aca="false">IF(H173&lt;=$D$5,0,H173)</f>
        <v>3.78399999999999</v>
      </c>
      <c r="E174" s="78" t="n">
        <f aca="false">ABS(IF(C174=0,0,IF(D174&gt;C174,0,ROUNDUP(((C174-$D$6-D174)/$D$4),0))))</f>
        <v>0</v>
      </c>
      <c r="F174" s="78" t="n">
        <f aca="false">IF(AND(D174=0,E174=0),E174,IF(D174=0,E174-1,E174))</f>
        <v>0</v>
      </c>
      <c r="G174" s="78" t="n">
        <f aca="false">F174*$D$6</f>
        <v>0</v>
      </c>
      <c r="H174" s="79" t="n">
        <f aca="false">((E174*$D$3)-G174)-C174+D174</f>
        <v>3.78399999999999</v>
      </c>
    </row>
    <row r="175" customFormat="false" ht="15" hidden="false" customHeight="false" outlineLevel="0" collapsed="false">
      <c r="B175" s="77" t="n">
        <v>158</v>
      </c>
      <c r="C175" s="78" t="n">
        <f aca="false">IF($D$11-B175&lt;0,0,$D$12)</f>
        <v>0</v>
      </c>
      <c r="D175" s="78" t="n">
        <f aca="false">IF(H174&lt;=$D$5,0,H174)</f>
        <v>3.78399999999999</v>
      </c>
      <c r="E175" s="78" t="n">
        <f aca="false">ABS(IF(C175=0,0,IF(D175&gt;C175,0,ROUNDUP(((C175-$D$6-D175)/$D$4),0))))</f>
        <v>0</v>
      </c>
      <c r="F175" s="78" t="n">
        <f aca="false">IF(AND(D175=0,E175=0),E175,IF(D175=0,E175-1,E175))</f>
        <v>0</v>
      </c>
      <c r="G175" s="78" t="n">
        <f aca="false">F175*$D$6</f>
        <v>0</v>
      </c>
      <c r="H175" s="79" t="n">
        <f aca="false">((E175*$D$3)-G175)-C175+D175</f>
        <v>3.78399999999999</v>
      </c>
    </row>
    <row r="176" customFormat="false" ht="15" hidden="false" customHeight="false" outlineLevel="0" collapsed="false">
      <c r="B176" s="77" t="n">
        <v>159</v>
      </c>
      <c r="C176" s="78" t="n">
        <f aca="false">IF($D$11-B176&lt;0,0,$D$12)</f>
        <v>0</v>
      </c>
      <c r="D176" s="78" t="n">
        <f aca="false">IF(H175&lt;=$D$5,0,H175)</f>
        <v>3.78399999999999</v>
      </c>
      <c r="E176" s="78" t="n">
        <f aca="false">ABS(IF(C176=0,0,IF(D176&gt;C176,0,ROUNDUP(((C176-$D$6-D176)/$D$4),0))))</f>
        <v>0</v>
      </c>
      <c r="F176" s="78" t="n">
        <f aca="false">IF(AND(D176=0,E176=0),E176,IF(D176=0,E176-1,E176))</f>
        <v>0</v>
      </c>
      <c r="G176" s="78" t="n">
        <f aca="false">F176*$D$6</f>
        <v>0</v>
      </c>
      <c r="H176" s="79" t="n">
        <f aca="false">((E176*$D$3)-G176)-C176+D176</f>
        <v>3.78399999999999</v>
      </c>
    </row>
    <row r="177" customFormat="false" ht="15" hidden="false" customHeight="false" outlineLevel="0" collapsed="false">
      <c r="B177" s="77" t="n">
        <v>160</v>
      </c>
      <c r="C177" s="78" t="n">
        <f aca="false">IF($D$11-B177&lt;0,0,$D$12)</f>
        <v>0</v>
      </c>
      <c r="D177" s="78" t="n">
        <f aca="false">IF(H176&lt;=$D$5,0,H176)</f>
        <v>3.78399999999999</v>
      </c>
      <c r="E177" s="78" t="n">
        <f aca="false">ABS(IF(C177=0,0,IF(D177&gt;C177,0,ROUNDUP(((C177-$D$6-D177)/$D$4),0))))</f>
        <v>0</v>
      </c>
      <c r="F177" s="78" t="n">
        <f aca="false">IF(AND(D177=0,E177=0),E177,IF(D177=0,E177-1,E177))</f>
        <v>0</v>
      </c>
      <c r="G177" s="78" t="n">
        <f aca="false">F177*$D$6</f>
        <v>0</v>
      </c>
      <c r="H177" s="79" t="n">
        <f aca="false">((E177*$D$3)-G177)-C177+D177</f>
        <v>3.78399999999999</v>
      </c>
    </row>
    <row r="178" customFormat="false" ht="15" hidden="false" customHeight="false" outlineLevel="0" collapsed="false">
      <c r="B178" s="77" t="n">
        <v>161</v>
      </c>
      <c r="C178" s="78" t="n">
        <f aca="false">IF($D$11-B178&lt;0,0,$D$12)</f>
        <v>0</v>
      </c>
      <c r="D178" s="78" t="n">
        <f aca="false">IF(H177&lt;=$D$5,0,H177)</f>
        <v>3.78399999999999</v>
      </c>
      <c r="E178" s="78" t="n">
        <f aca="false">ABS(IF(C178=0,0,IF(D178&gt;C178,0,ROUNDUP(((C178-$D$6-D178)/$D$4),0))))</f>
        <v>0</v>
      </c>
      <c r="F178" s="78" t="n">
        <f aca="false">IF(AND(D178=0,E178=0),E178,IF(D178=0,E178-1,E178))</f>
        <v>0</v>
      </c>
      <c r="G178" s="78" t="n">
        <f aca="false">F178*$D$6</f>
        <v>0</v>
      </c>
      <c r="H178" s="79" t="n">
        <f aca="false">((E178*$D$3)-G178)-C178+D178</f>
        <v>3.78399999999999</v>
      </c>
    </row>
    <row r="179" customFormat="false" ht="15" hidden="false" customHeight="false" outlineLevel="0" collapsed="false">
      <c r="B179" s="77" t="n">
        <v>162</v>
      </c>
      <c r="C179" s="78" t="n">
        <f aca="false">IF($D$11-B179&lt;0,0,$D$12)</f>
        <v>0</v>
      </c>
      <c r="D179" s="78" t="n">
        <f aca="false">IF(H178&lt;=$D$5,0,H178)</f>
        <v>3.78399999999999</v>
      </c>
      <c r="E179" s="78" t="n">
        <f aca="false">ABS(IF(C179=0,0,IF(D179&gt;C179,0,ROUNDUP(((C179-$D$6-D179)/$D$4),0))))</f>
        <v>0</v>
      </c>
      <c r="F179" s="78" t="n">
        <f aca="false">IF(AND(D179=0,E179=0),E179,IF(D179=0,E179-1,E179))</f>
        <v>0</v>
      </c>
      <c r="G179" s="78" t="n">
        <f aca="false">F179*$D$6</f>
        <v>0</v>
      </c>
      <c r="H179" s="79" t="n">
        <f aca="false">((E179*$D$3)-G179)-C179+D179</f>
        <v>3.78399999999999</v>
      </c>
    </row>
    <row r="180" customFormat="false" ht="15" hidden="false" customHeight="false" outlineLevel="0" collapsed="false">
      <c r="B180" s="77" t="n">
        <v>163</v>
      </c>
      <c r="C180" s="78" t="n">
        <f aca="false">IF($D$11-B180&lt;0,0,$D$12)</f>
        <v>0</v>
      </c>
      <c r="D180" s="78" t="n">
        <f aca="false">IF(H179&lt;=$D$5,0,H179)</f>
        <v>3.78399999999999</v>
      </c>
      <c r="E180" s="78" t="n">
        <f aca="false">ABS(IF(C180=0,0,IF(D180&gt;C180,0,ROUNDUP(((C180-$D$6-D180)/$D$4),0))))</f>
        <v>0</v>
      </c>
      <c r="F180" s="78" t="n">
        <f aca="false">IF(AND(D180=0,E180=0),E180,IF(D180=0,E180-1,E180))</f>
        <v>0</v>
      </c>
      <c r="G180" s="78" t="n">
        <f aca="false">F180*$D$6</f>
        <v>0</v>
      </c>
      <c r="H180" s="79" t="n">
        <f aca="false">((E180*$D$3)-G180)-C180+D180</f>
        <v>3.78399999999999</v>
      </c>
    </row>
    <row r="181" customFormat="false" ht="15" hidden="false" customHeight="false" outlineLevel="0" collapsed="false">
      <c r="B181" s="77" t="n">
        <v>164</v>
      </c>
      <c r="C181" s="78" t="n">
        <f aca="false">IF($D$11-B181&lt;0,0,$D$12)</f>
        <v>0</v>
      </c>
      <c r="D181" s="78" t="n">
        <f aca="false">IF(H180&lt;=$D$5,0,H180)</f>
        <v>3.78399999999999</v>
      </c>
      <c r="E181" s="78" t="n">
        <f aca="false">ABS(IF(C181=0,0,IF(D181&gt;C181,0,ROUNDUP(((C181-$D$6-D181)/$D$4),0))))</f>
        <v>0</v>
      </c>
      <c r="F181" s="78" t="n">
        <f aca="false">IF(AND(D181=0,E181=0),E181,IF(D181=0,E181-1,E181))</f>
        <v>0</v>
      </c>
      <c r="G181" s="78" t="n">
        <f aca="false">F181*$D$6</f>
        <v>0</v>
      </c>
      <c r="H181" s="79" t="n">
        <f aca="false">((E181*$D$3)-G181)-C181+D181</f>
        <v>3.78399999999999</v>
      </c>
    </row>
    <row r="182" customFormat="false" ht="15" hidden="false" customHeight="false" outlineLevel="0" collapsed="false">
      <c r="B182" s="77" t="n">
        <v>165</v>
      </c>
      <c r="C182" s="78" t="n">
        <f aca="false">IF($D$11-B182&lt;0,0,$D$12)</f>
        <v>0</v>
      </c>
      <c r="D182" s="78" t="n">
        <f aca="false">IF(H181&lt;=$D$5,0,H181)</f>
        <v>3.78399999999999</v>
      </c>
      <c r="E182" s="78" t="n">
        <f aca="false">ABS(IF(C182=0,0,IF(D182&gt;C182,0,ROUNDUP(((C182-$D$6-D182)/$D$4),0))))</f>
        <v>0</v>
      </c>
      <c r="F182" s="78" t="n">
        <f aca="false">IF(AND(D182=0,E182=0),E182,IF(D182=0,E182-1,E182))</f>
        <v>0</v>
      </c>
      <c r="G182" s="78" t="n">
        <f aca="false">F182*$D$6</f>
        <v>0</v>
      </c>
      <c r="H182" s="79" t="n">
        <f aca="false">((E182*$D$3)-G182)-C182+D182</f>
        <v>3.78399999999999</v>
      </c>
    </row>
    <row r="183" customFormat="false" ht="15" hidden="false" customHeight="false" outlineLevel="0" collapsed="false">
      <c r="B183" s="77" t="n">
        <v>166</v>
      </c>
      <c r="C183" s="78" t="n">
        <f aca="false">IF($D$11-B183&lt;0,0,$D$12)</f>
        <v>0</v>
      </c>
      <c r="D183" s="78" t="n">
        <f aca="false">IF(H182&lt;=$D$5,0,H182)</f>
        <v>3.78399999999999</v>
      </c>
      <c r="E183" s="78" t="n">
        <f aca="false">ABS(IF(C183=0,0,IF(D183&gt;C183,0,ROUNDUP(((C183-$D$6-D183)/$D$4),0))))</f>
        <v>0</v>
      </c>
      <c r="F183" s="78" t="n">
        <f aca="false">IF(AND(D183=0,E183=0),E183,IF(D183=0,E183-1,E183))</f>
        <v>0</v>
      </c>
      <c r="G183" s="78" t="n">
        <f aca="false">F183*$D$6</f>
        <v>0</v>
      </c>
      <c r="H183" s="79" t="n">
        <f aca="false">((E183*$D$3)-G183)-C183+D183</f>
        <v>3.78399999999999</v>
      </c>
    </row>
    <row r="184" customFormat="false" ht="15" hidden="false" customHeight="false" outlineLevel="0" collapsed="false">
      <c r="B184" s="77" t="n">
        <v>167</v>
      </c>
      <c r="C184" s="78" t="n">
        <f aca="false">IF($D$11-B184&lt;0,0,$D$12)</f>
        <v>0</v>
      </c>
      <c r="D184" s="78" t="n">
        <f aca="false">IF(H183&lt;=$D$5,0,H183)</f>
        <v>3.78399999999999</v>
      </c>
      <c r="E184" s="78" t="n">
        <f aca="false">ABS(IF(C184=0,0,IF(D184&gt;C184,0,ROUNDUP(((C184-$D$6-D184)/$D$4),0))))</f>
        <v>0</v>
      </c>
      <c r="F184" s="78" t="n">
        <f aca="false">IF(AND(D184=0,E184=0),E184,IF(D184=0,E184-1,E184))</f>
        <v>0</v>
      </c>
      <c r="G184" s="78" t="n">
        <f aca="false">F184*$D$6</f>
        <v>0</v>
      </c>
      <c r="H184" s="79" t="n">
        <f aca="false">((E184*$D$3)-G184)-C184+D184</f>
        <v>3.78399999999999</v>
      </c>
    </row>
    <row r="185" customFormat="false" ht="15" hidden="false" customHeight="false" outlineLevel="0" collapsed="false">
      <c r="B185" s="77" t="n">
        <v>168</v>
      </c>
      <c r="C185" s="78" t="n">
        <f aca="false">IF($D$11-B185&lt;0,0,$D$12)</f>
        <v>0</v>
      </c>
      <c r="D185" s="78" t="n">
        <f aca="false">IF(H184&lt;=$D$5,0,H184)</f>
        <v>3.78399999999999</v>
      </c>
      <c r="E185" s="78" t="n">
        <f aca="false">ABS(IF(C185=0,0,IF(D185&gt;C185,0,ROUNDUP(((C185-$D$6-D185)/$D$4),0))))</f>
        <v>0</v>
      </c>
      <c r="F185" s="78" t="n">
        <f aca="false">IF(AND(D185=0,E185=0),E185,IF(D185=0,E185-1,E185))</f>
        <v>0</v>
      </c>
      <c r="G185" s="78" t="n">
        <f aca="false">F185*$D$6</f>
        <v>0</v>
      </c>
      <c r="H185" s="79" t="n">
        <f aca="false">((E185*$D$3)-G185)-C185+D185</f>
        <v>3.78399999999999</v>
      </c>
    </row>
    <row r="186" customFormat="false" ht="15" hidden="false" customHeight="false" outlineLevel="0" collapsed="false">
      <c r="B186" s="77" t="n">
        <v>169</v>
      </c>
      <c r="C186" s="78" t="n">
        <f aca="false">IF($D$11-B186&lt;0,0,$D$12)</f>
        <v>0</v>
      </c>
      <c r="D186" s="78" t="n">
        <f aca="false">IF(H185&lt;=$D$5,0,H185)</f>
        <v>3.78399999999999</v>
      </c>
      <c r="E186" s="78" t="n">
        <f aca="false">ABS(IF(C186=0,0,IF(D186&gt;C186,0,ROUNDUP(((C186-$D$6-D186)/$D$4),0))))</f>
        <v>0</v>
      </c>
      <c r="F186" s="78" t="n">
        <f aca="false">IF(AND(D186=0,E186=0),E186,IF(D186=0,E186-1,E186))</f>
        <v>0</v>
      </c>
      <c r="G186" s="78" t="n">
        <f aca="false">F186*$D$6</f>
        <v>0</v>
      </c>
      <c r="H186" s="79" t="n">
        <f aca="false">((E186*$D$3)-G186)-C186+D186</f>
        <v>3.78399999999999</v>
      </c>
    </row>
    <row r="187" customFormat="false" ht="15" hidden="false" customHeight="false" outlineLevel="0" collapsed="false">
      <c r="B187" s="77" t="n">
        <v>170</v>
      </c>
      <c r="C187" s="78" t="n">
        <f aca="false">IF($D$11-B187&lt;0,0,$D$12)</f>
        <v>0</v>
      </c>
      <c r="D187" s="78" t="n">
        <f aca="false">IF(H186&lt;=$D$5,0,H186)</f>
        <v>3.78399999999999</v>
      </c>
      <c r="E187" s="78" t="n">
        <f aca="false">ABS(IF(C187=0,0,IF(D187&gt;C187,0,ROUNDUP(((C187-$D$6-D187)/$D$4),0))))</f>
        <v>0</v>
      </c>
      <c r="F187" s="78" t="n">
        <f aca="false">IF(AND(D187=0,E187=0),E187,IF(D187=0,E187-1,E187))</f>
        <v>0</v>
      </c>
      <c r="G187" s="78" t="n">
        <f aca="false">F187*$D$6</f>
        <v>0</v>
      </c>
      <c r="H187" s="79" t="n">
        <f aca="false">((E187*$D$3)-G187)-C187+D187</f>
        <v>3.78399999999999</v>
      </c>
    </row>
    <row r="188" customFormat="false" ht="15" hidden="false" customHeight="false" outlineLevel="0" collapsed="false">
      <c r="B188" s="77" t="n">
        <v>171</v>
      </c>
      <c r="C188" s="78" t="n">
        <f aca="false">IF($D$11-B188&lt;0,0,$D$12)</f>
        <v>0</v>
      </c>
      <c r="D188" s="78" t="n">
        <f aca="false">IF(H187&lt;=$D$5,0,H187)</f>
        <v>3.78399999999999</v>
      </c>
      <c r="E188" s="78" t="n">
        <f aca="false">ABS(IF(C188=0,0,IF(D188&gt;C188,0,ROUNDUP(((C188-$D$6-D188)/$D$4),0))))</f>
        <v>0</v>
      </c>
      <c r="F188" s="78" t="n">
        <f aca="false">IF(AND(D188=0,E188=0),E188,IF(D188=0,E188-1,E188))</f>
        <v>0</v>
      </c>
      <c r="G188" s="78" t="n">
        <f aca="false">F188*$D$6</f>
        <v>0</v>
      </c>
      <c r="H188" s="79" t="n">
        <f aca="false">((E188*$D$3)-G188)-C188+D188</f>
        <v>3.78399999999999</v>
      </c>
    </row>
    <row r="189" customFormat="false" ht="15" hidden="false" customHeight="false" outlineLevel="0" collapsed="false">
      <c r="B189" s="77" t="n">
        <v>172</v>
      </c>
      <c r="C189" s="78" t="n">
        <f aca="false">IF($D$11-B189&lt;0,0,$D$12)</f>
        <v>0</v>
      </c>
      <c r="D189" s="78" t="n">
        <f aca="false">IF(H188&lt;=$D$5,0,H188)</f>
        <v>3.78399999999999</v>
      </c>
      <c r="E189" s="78" t="n">
        <f aca="false">ABS(IF(C189=0,0,IF(D189&gt;C189,0,ROUNDUP(((C189-$D$6-D189)/$D$4),0))))</f>
        <v>0</v>
      </c>
      <c r="F189" s="78" t="n">
        <f aca="false">IF(AND(D189=0,E189=0),E189,IF(D189=0,E189-1,E189))</f>
        <v>0</v>
      </c>
      <c r="G189" s="78" t="n">
        <f aca="false">F189*$D$6</f>
        <v>0</v>
      </c>
      <c r="H189" s="79" t="n">
        <f aca="false">((E189*$D$3)-G189)-C189+D189</f>
        <v>3.78399999999999</v>
      </c>
    </row>
    <row r="190" customFormat="false" ht="15" hidden="false" customHeight="false" outlineLevel="0" collapsed="false">
      <c r="B190" s="77" t="n">
        <v>173</v>
      </c>
      <c r="C190" s="78" t="n">
        <f aca="false">IF($D$11-B190&lt;0,0,$D$12)</f>
        <v>0</v>
      </c>
      <c r="D190" s="78" t="n">
        <f aca="false">IF(H189&lt;=$D$5,0,H189)</f>
        <v>3.78399999999999</v>
      </c>
      <c r="E190" s="78" t="n">
        <f aca="false">ABS(IF(C190=0,0,IF(D190&gt;C190,0,ROUNDUP(((C190-$D$6-D190)/$D$4),0))))</f>
        <v>0</v>
      </c>
      <c r="F190" s="78" t="n">
        <f aca="false">IF(AND(D190=0,E190=0),E190,IF(D190=0,E190-1,E190))</f>
        <v>0</v>
      </c>
      <c r="G190" s="78" t="n">
        <f aca="false">F190*$D$6</f>
        <v>0</v>
      </c>
      <c r="H190" s="79" t="n">
        <f aca="false">((E190*$D$3)-G190)-C190+D190</f>
        <v>3.78399999999999</v>
      </c>
    </row>
    <row r="191" customFormat="false" ht="15" hidden="false" customHeight="false" outlineLevel="0" collapsed="false">
      <c r="B191" s="77" t="n">
        <v>174</v>
      </c>
      <c r="C191" s="78" t="n">
        <f aca="false">IF($D$11-B191&lt;0,0,$D$12)</f>
        <v>0</v>
      </c>
      <c r="D191" s="78" t="n">
        <f aca="false">IF(H190&lt;=$D$5,0,H190)</f>
        <v>3.78399999999999</v>
      </c>
      <c r="E191" s="78" t="n">
        <f aca="false">ABS(IF(C191=0,0,IF(D191&gt;C191,0,ROUNDUP(((C191-$D$6-D191)/$D$4),0))))</f>
        <v>0</v>
      </c>
      <c r="F191" s="78" t="n">
        <f aca="false">IF(AND(D191=0,E191=0),E191,IF(D191=0,E191-1,E191))</f>
        <v>0</v>
      </c>
      <c r="G191" s="78" t="n">
        <f aca="false">F191*$D$6</f>
        <v>0</v>
      </c>
      <c r="H191" s="79" t="n">
        <f aca="false">((E191*$D$3)-G191)-C191+D191</f>
        <v>3.78399999999999</v>
      </c>
    </row>
    <row r="192" customFormat="false" ht="15" hidden="false" customHeight="false" outlineLevel="0" collapsed="false">
      <c r="B192" s="77" t="n">
        <v>175</v>
      </c>
      <c r="C192" s="78" t="n">
        <f aca="false">IF($D$11-B192&lt;0,0,$D$12)</f>
        <v>0</v>
      </c>
      <c r="D192" s="78" t="n">
        <f aca="false">IF(H191&lt;=$D$5,0,H191)</f>
        <v>3.78399999999999</v>
      </c>
      <c r="E192" s="78" t="n">
        <f aca="false">ABS(IF(C192=0,0,IF(D192&gt;C192,0,ROUNDUP(((C192-$D$6-D192)/$D$4),0))))</f>
        <v>0</v>
      </c>
      <c r="F192" s="78" t="n">
        <f aca="false">IF(AND(D192=0,E192=0),E192,IF(D192=0,E192-1,E192))</f>
        <v>0</v>
      </c>
      <c r="G192" s="78" t="n">
        <f aca="false">F192*$D$6</f>
        <v>0</v>
      </c>
      <c r="H192" s="79" t="n">
        <f aca="false">((E192*$D$3)-G192)-C192+D192</f>
        <v>3.78399999999999</v>
      </c>
    </row>
    <row r="193" customFormat="false" ht="15" hidden="false" customHeight="false" outlineLevel="0" collapsed="false">
      <c r="B193" s="77" t="n">
        <v>176</v>
      </c>
      <c r="C193" s="78" t="n">
        <f aca="false">IF($D$11-B193&lt;0,0,$D$12)</f>
        <v>0</v>
      </c>
      <c r="D193" s="78" t="n">
        <f aca="false">IF(H192&lt;=$D$5,0,H192)</f>
        <v>3.78399999999999</v>
      </c>
      <c r="E193" s="78" t="n">
        <f aca="false">ABS(IF(C193=0,0,IF(D193&gt;C193,0,ROUNDUP(((C193-$D$6-D193)/$D$4),0))))</f>
        <v>0</v>
      </c>
      <c r="F193" s="78" t="n">
        <f aca="false">IF(AND(D193=0,E193=0),E193,IF(D193=0,E193-1,E193))</f>
        <v>0</v>
      </c>
      <c r="G193" s="78" t="n">
        <f aca="false">F193*$D$6</f>
        <v>0</v>
      </c>
      <c r="H193" s="79" t="n">
        <f aca="false">((E193*$D$3)-G193)-C193+D193</f>
        <v>3.78399999999999</v>
      </c>
    </row>
    <row r="194" customFormat="false" ht="15" hidden="false" customHeight="false" outlineLevel="0" collapsed="false">
      <c r="B194" s="77" t="n">
        <v>177</v>
      </c>
      <c r="C194" s="78" t="n">
        <f aca="false">IF($D$11-B194&lt;0,0,$D$12)</f>
        <v>0</v>
      </c>
      <c r="D194" s="78" t="n">
        <f aca="false">IF(H193&lt;=$D$5,0,H193)</f>
        <v>3.78399999999999</v>
      </c>
      <c r="E194" s="78" t="n">
        <f aca="false">ABS(IF(C194=0,0,IF(D194&gt;C194,0,ROUNDUP(((C194-$D$6-D194)/$D$4),0))))</f>
        <v>0</v>
      </c>
      <c r="F194" s="78" t="n">
        <f aca="false">IF(AND(D194=0,E194=0),E194,IF(D194=0,E194-1,E194))</f>
        <v>0</v>
      </c>
      <c r="G194" s="78" t="n">
        <f aca="false">F194*$D$6</f>
        <v>0</v>
      </c>
      <c r="H194" s="79" t="n">
        <f aca="false">((E194*$D$3)-G194)-C194+D194</f>
        <v>3.78399999999999</v>
      </c>
    </row>
    <row r="195" customFormat="false" ht="15" hidden="false" customHeight="false" outlineLevel="0" collapsed="false">
      <c r="B195" s="77" t="n">
        <v>178</v>
      </c>
      <c r="C195" s="78" t="n">
        <f aca="false">IF($D$11-B195&lt;0,0,$D$12)</f>
        <v>0</v>
      </c>
      <c r="D195" s="78" t="n">
        <f aca="false">IF(H194&lt;=$D$5,0,H194)</f>
        <v>3.78399999999999</v>
      </c>
      <c r="E195" s="78" t="n">
        <f aca="false">ABS(IF(C195=0,0,IF(D195&gt;C195,0,ROUNDUP(((C195-$D$6-D195)/$D$4),0))))</f>
        <v>0</v>
      </c>
      <c r="F195" s="78" t="n">
        <f aca="false">IF(AND(D195=0,E195=0),E195,IF(D195=0,E195-1,E195))</f>
        <v>0</v>
      </c>
      <c r="G195" s="78" t="n">
        <f aca="false">F195*$D$6</f>
        <v>0</v>
      </c>
      <c r="H195" s="79" t="n">
        <f aca="false">((E195*$D$3)-G195)-C195+D195</f>
        <v>3.78399999999999</v>
      </c>
    </row>
    <row r="196" customFormat="false" ht="15" hidden="false" customHeight="false" outlineLevel="0" collapsed="false">
      <c r="B196" s="77" t="n">
        <v>179</v>
      </c>
      <c r="C196" s="78" t="n">
        <f aca="false">IF($D$11-B196&lt;0,0,$D$12)</f>
        <v>0</v>
      </c>
      <c r="D196" s="78" t="n">
        <f aca="false">IF(H195&lt;=$D$5,0,H195)</f>
        <v>3.78399999999999</v>
      </c>
      <c r="E196" s="78" t="n">
        <f aca="false">ABS(IF(C196=0,0,IF(D196&gt;C196,0,ROUNDUP(((C196-$D$6-D196)/$D$4),0))))</f>
        <v>0</v>
      </c>
      <c r="F196" s="78" t="n">
        <f aca="false">IF(AND(D196=0,E196=0),E196,IF(D196=0,E196-1,E196))</f>
        <v>0</v>
      </c>
      <c r="G196" s="78" t="n">
        <f aca="false">F196*$D$6</f>
        <v>0</v>
      </c>
      <c r="H196" s="79" t="n">
        <f aca="false">((E196*$D$3)-G196)-C196+D196</f>
        <v>3.78399999999999</v>
      </c>
    </row>
    <row r="197" customFormat="false" ht="15" hidden="false" customHeight="false" outlineLevel="0" collapsed="false">
      <c r="B197" s="77" t="n">
        <v>180</v>
      </c>
      <c r="C197" s="78" t="n">
        <f aca="false">IF($D$11-B197&lt;0,0,$D$12)</f>
        <v>0</v>
      </c>
      <c r="D197" s="78" t="n">
        <f aca="false">IF(H196&lt;=$D$5,0,H196)</f>
        <v>3.78399999999999</v>
      </c>
      <c r="E197" s="78" t="n">
        <f aca="false">ABS(IF(C197=0,0,IF(D197&gt;C197,0,ROUNDUP(((C197-$D$6-D197)/$D$4),0))))</f>
        <v>0</v>
      </c>
      <c r="F197" s="78" t="n">
        <f aca="false">IF(AND(D197=0,E197=0),E197,IF(D197=0,E197-1,E197))</f>
        <v>0</v>
      </c>
      <c r="G197" s="78" t="n">
        <f aca="false">F197*$D$6</f>
        <v>0</v>
      </c>
      <c r="H197" s="79" t="n">
        <f aca="false">((E197*$D$3)-G197)-C197+D197</f>
        <v>3.78399999999999</v>
      </c>
    </row>
    <row r="198" customFormat="false" ht="15" hidden="false" customHeight="false" outlineLevel="0" collapsed="false">
      <c r="B198" s="77" t="n">
        <v>181</v>
      </c>
      <c r="C198" s="78" t="n">
        <f aca="false">IF($D$11-B198&lt;0,0,$D$12)</f>
        <v>0</v>
      </c>
      <c r="D198" s="78" t="n">
        <f aca="false">IF(H197&lt;=$D$5,0,H197)</f>
        <v>3.78399999999999</v>
      </c>
      <c r="E198" s="78" t="n">
        <f aca="false">ABS(IF(C198=0,0,IF(D198&gt;C198,0,ROUNDUP(((C198-$D$6-D198)/$D$4),0))))</f>
        <v>0</v>
      </c>
      <c r="F198" s="78" t="n">
        <f aca="false">IF(AND(D198=0,E198=0),E198,IF(D198=0,E198-1,E198))</f>
        <v>0</v>
      </c>
      <c r="G198" s="78" t="n">
        <f aca="false">F198*$D$6</f>
        <v>0</v>
      </c>
      <c r="H198" s="79" t="n">
        <f aca="false">((E198*$D$3)-G198)-C198+D198</f>
        <v>3.78399999999999</v>
      </c>
    </row>
    <row r="199" customFormat="false" ht="15" hidden="false" customHeight="false" outlineLevel="0" collapsed="false">
      <c r="B199" s="77" t="n">
        <v>182</v>
      </c>
      <c r="C199" s="78" t="n">
        <f aca="false">IF($D$11-B199&lt;0,0,$D$12)</f>
        <v>0</v>
      </c>
      <c r="D199" s="78" t="n">
        <f aca="false">IF(H198&lt;=$D$5,0,H198)</f>
        <v>3.78399999999999</v>
      </c>
      <c r="E199" s="78" t="n">
        <f aca="false">ABS(IF(C199=0,0,IF(D199&gt;C199,0,ROUNDUP(((C199-$D$6-D199)/$D$4),0))))</f>
        <v>0</v>
      </c>
      <c r="F199" s="78" t="n">
        <f aca="false">IF(AND(D199=0,E199=0),E199,IF(D199=0,E199-1,E199))</f>
        <v>0</v>
      </c>
      <c r="G199" s="78" t="n">
        <f aca="false">F199*$D$6</f>
        <v>0</v>
      </c>
      <c r="H199" s="79" t="n">
        <f aca="false">((E199*$D$3)-G199)-C199+D199</f>
        <v>3.78399999999999</v>
      </c>
    </row>
    <row r="200" customFormat="false" ht="15" hidden="false" customHeight="false" outlineLevel="0" collapsed="false">
      <c r="B200" s="77" t="n">
        <v>183</v>
      </c>
      <c r="C200" s="78" t="n">
        <f aca="false">IF($D$11-B200&lt;0,0,$D$12)</f>
        <v>0</v>
      </c>
      <c r="D200" s="78" t="n">
        <f aca="false">IF(H199&lt;=$D$5,0,H199)</f>
        <v>3.78399999999999</v>
      </c>
      <c r="E200" s="78" t="n">
        <f aca="false">ABS(IF(C200=0,0,IF(D200&gt;C200,0,ROUNDUP(((C200-$D$6-D200)/$D$4),0))))</f>
        <v>0</v>
      </c>
      <c r="F200" s="78" t="n">
        <f aca="false">IF(AND(D200=0,E200=0),E200,IF(D200=0,E200-1,E200))</f>
        <v>0</v>
      </c>
      <c r="G200" s="78" t="n">
        <f aca="false">F200*$D$6</f>
        <v>0</v>
      </c>
      <c r="H200" s="79" t="n">
        <f aca="false">((E200*$D$3)-G200)-C200+D200</f>
        <v>3.78399999999999</v>
      </c>
    </row>
    <row r="201" customFormat="false" ht="15" hidden="false" customHeight="false" outlineLevel="0" collapsed="false">
      <c r="B201" s="77" t="n">
        <v>184</v>
      </c>
      <c r="C201" s="78" t="n">
        <f aca="false">IF($D$11-B201&lt;0,0,$D$12)</f>
        <v>0</v>
      </c>
      <c r="D201" s="78" t="n">
        <f aca="false">IF(H200&lt;=$D$5,0,H200)</f>
        <v>3.78399999999999</v>
      </c>
      <c r="E201" s="78" t="n">
        <f aca="false">ABS(IF(C201=0,0,IF(D201&gt;C201,0,ROUNDUP(((C201-$D$6-D201)/$D$4),0))))</f>
        <v>0</v>
      </c>
      <c r="F201" s="78" t="n">
        <f aca="false">IF(AND(D201=0,E201=0),E201,IF(D201=0,E201-1,E201))</f>
        <v>0</v>
      </c>
      <c r="G201" s="78" t="n">
        <f aca="false">F201*$D$6</f>
        <v>0</v>
      </c>
      <c r="H201" s="79" t="n">
        <f aca="false">((E201*$D$3)-G201)-C201+D201</f>
        <v>3.78399999999999</v>
      </c>
    </row>
    <row r="202" customFormat="false" ht="15" hidden="false" customHeight="false" outlineLevel="0" collapsed="false">
      <c r="B202" s="77" t="n">
        <v>185</v>
      </c>
      <c r="C202" s="78" t="n">
        <f aca="false">IF($D$11-B202&lt;0,0,$D$12)</f>
        <v>0</v>
      </c>
      <c r="D202" s="78" t="n">
        <f aca="false">IF(H201&lt;=$D$5,0,H201)</f>
        <v>3.78399999999999</v>
      </c>
      <c r="E202" s="78" t="n">
        <f aca="false">ABS(IF(C202=0,0,IF(D202&gt;C202,0,ROUNDUP(((C202-$D$6-D202)/$D$4),0))))</f>
        <v>0</v>
      </c>
      <c r="F202" s="78" t="n">
        <f aca="false">IF(AND(D202=0,E202=0),E202,IF(D202=0,E202-1,E202))</f>
        <v>0</v>
      </c>
      <c r="G202" s="78" t="n">
        <f aca="false">F202*$D$6</f>
        <v>0</v>
      </c>
      <c r="H202" s="79" t="n">
        <f aca="false">((E202*$D$3)-G202)-C202+D202</f>
        <v>3.78399999999999</v>
      </c>
    </row>
    <row r="203" customFormat="false" ht="15" hidden="false" customHeight="false" outlineLevel="0" collapsed="false">
      <c r="B203" s="77" t="n">
        <v>186</v>
      </c>
      <c r="C203" s="78" t="n">
        <f aca="false">IF($D$11-B203&lt;0,0,$D$12)</f>
        <v>0</v>
      </c>
      <c r="D203" s="78" t="n">
        <f aca="false">IF(H202&lt;=$D$5,0,H202)</f>
        <v>3.78399999999999</v>
      </c>
      <c r="E203" s="78" t="n">
        <f aca="false">ABS(IF(C203=0,0,IF(D203&gt;C203,0,ROUNDUP(((C203-$D$6-D203)/$D$4),0))))</f>
        <v>0</v>
      </c>
      <c r="F203" s="78" t="n">
        <f aca="false">IF(AND(D203=0,E203=0),E203,IF(D203=0,E203-1,E203))</f>
        <v>0</v>
      </c>
      <c r="G203" s="78" t="n">
        <f aca="false">F203*$D$6</f>
        <v>0</v>
      </c>
      <c r="H203" s="79" t="n">
        <f aca="false">((E203*$D$3)-G203)-C203+D203</f>
        <v>3.78399999999999</v>
      </c>
    </row>
    <row r="204" customFormat="false" ht="15" hidden="false" customHeight="false" outlineLevel="0" collapsed="false">
      <c r="B204" s="77" t="n">
        <v>187</v>
      </c>
      <c r="C204" s="78" t="n">
        <f aca="false">IF($D$11-B204&lt;0,0,$D$12)</f>
        <v>0</v>
      </c>
      <c r="D204" s="78" t="n">
        <f aca="false">IF(H203&lt;=$D$5,0,H203)</f>
        <v>3.78399999999999</v>
      </c>
      <c r="E204" s="78" t="n">
        <f aca="false">ABS(IF(C204=0,0,IF(D204&gt;C204,0,ROUNDUP(((C204-$D$6-D204)/$D$4),0))))</f>
        <v>0</v>
      </c>
      <c r="F204" s="78" t="n">
        <f aca="false">IF(AND(D204=0,E204=0),E204,IF(D204=0,E204-1,E204))</f>
        <v>0</v>
      </c>
      <c r="G204" s="78" t="n">
        <f aca="false">F204*$D$6</f>
        <v>0</v>
      </c>
      <c r="H204" s="79" t="n">
        <f aca="false">((E204*$D$3)-G204)-C204+D204</f>
        <v>3.78399999999999</v>
      </c>
    </row>
    <row r="205" customFormat="false" ht="15" hidden="false" customHeight="false" outlineLevel="0" collapsed="false">
      <c r="B205" s="77" t="n">
        <v>188</v>
      </c>
      <c r="C205" s="78" t="n">
        <f aca="false">IF($D$11-B205&lt;0,0,$D$12)</f>
        <v>0</v>
      </c>
      <c r="D205" s="78" t="n">
        <f aca="false">IF(H204&lt;=$D$5,0,H204)</f>
        <v>3.78399999999999</v>
      </c>
      <c r="E205" s="78" t="n">
        <f aca="false">ABS(IF(C205=0,0,IF(D205&gt;C205,0,ROUNDUP(((C205-$D$6-D205)/$D$4),0))))</f>
        <v>0</v>
      </c>
      <c r="F205" s="78" t="n">
        <f aca="false">IF(AND(D205=0,E205=0),E205,IF(D205=0,E205-1,E205))</f>
        <v>0</v>
      </c>
      <c r="G205" s="78" t="n">
        <f aca="false">F205*$D$6</f>
        <v>0</v>
      </c>
      <c r="H205" s="79" t="n">
        <f aca="false">((E205*$D$3)-G205)-C205+D205</f>
        <v>3.78399999999999</v>
      </c>
    </row>
    <row r="206" customFormat="false" ht="15" hidden="false" customHeight="false" outlineLevel="0" collapsed="false">
      <c r="B206" s="77" t="n">
        <v>189</v>
      </c>
      <c r="C206" s="78" t="n">
        <f aca="false">IF($D$11-B206&lt;0,0,$D$12)</f>
        <v>0</v>
      </c>
      <c r="D206" s="78" t="n">
        <f aca="false">IF(H205&lt;=$D$5,0,H205)</f>
        <v>3.78399999999999</v>
      </c>
      <c r="E206" s="78" t="n">
        <f aca="false">ABS(IF(C206=0,0,IF(D206&gt;C206,0,ROUNDUP(((C206-$D$6-D206)/$D$4),0))))</f>
        <v>0</v>
      </c>
      <c r="F206" s="78" t="n">
        <f aca="false">IF(AND(D206=0,E206=0),E206,IF(D206=0,E206-1,E206))</f>
        <v>0</v>
      </c>
      <c r="G206" s="78" t="n">
        <f aca="false">F206*$D$6</f>
        <v>0</v>
      </c>
      <c r="H206" s="79" t="n">
        <f aca="false">((E206*$D$3)-G206)-C206+D206</f>
        <v>3.78399999999999</v>
      </c>
    </row>
    <row r="207" customFormat="false" ht="15" hidden="false" customHeight="false" outlineLevel="0" collapsed="false">
      <c r="B207" s="77" t="n">
        <v>190</v>
      </c>
      <c r="C207" s="78" t="n">
        <f aca="false">IF($D$11-B207&lt;0,0,$D$12)</f>
        <v>0</v>
      </c>
      <c r="D207" s="78" t="n">
        <f aca="false">IF(H206&lt;=$D$5,0,H206)</f>
        <v>3.78399999999999</v>
      </c>
      <c r="E207" s="78" t="n">
        <f aca="false">ABS(IF(C207=0,0,IF(D207&gt;C207,0,ROUNDUP(((C207-$D$6-D207)/$D$4),0))))</f>
        <v>0</v>
      </c>
      <c r="F207" s="78" t="n">
        <f aca="false">IF(AND(D207=0,E207=0),E207,IF(D207=0,E207-1,E207))</f>
        <v>0</v>
      </c>
      <c r="G207" s="78" t="n">
        <f aca="false">F207*$D$6</f>
        <v>0</v>
      </c>
      <c r="H207" s="79" t="n">
        <f aca="false">((E207*$D$3)-G207)-C207+D207</f>
        <v>3.78399999999999</v>
      </c>
    </row>
    <row r="208" customFormat="false" ht="15" hidden="false" customHeight="false" outlineLevel="0" collapsed="false">
      <c r="B208" s="77" t="n">
        <v>191</v>
      </c>
      <c r="C208" s="78" t="n">
        <f aca="false">IF($D$11-B208&lt;0,0,$D$12)</f>
        <v>0</v>
      </c>
      <c r="D208" s="78" t="n">
        <f aca="false">IF(H207&lt;=$D$5,0,H207)</f>
        <v>3.78399999999999</v>
      </c>
      <c r="E208" s="78" t="n">
        <f aca="false">ABS(IF(C208=0,0,IF(D208&gt;C208,0,ROUNDUP(((C208-$D$6-D208)/$D$4),0))))</f>
        <v>0</v>
      </c>
      <c r="F208" s="78" t="n">
        <f aca="false">IF(AND(D208=0,E208=0),E208,IF(D208=0,E208-1,E208))</f>
        <v>0</v>
      </c>
      <c r="G208" s="78" t="n">
        <f aca="false">F208*$D$6</f>
        <v>0</v>
      </c>
      <c r="H208" s="79" t="n">
        <f aca="false">((E208*$D$3)-G208)-C208+D208</f>
        <v>3.78399999999999</v>
      </c>
    </row>
    <row r="209" customFormat="false" ht="15" hidden="false" customHeight="false" outlineLevel="0" collapsed="false">
      <c r="B209" s="77" t="n">
        <v>192</v>
      </c>
      <c r="C209" s="78" t="n">
        <f aca="false">IF($D$11-B209&lt;0,0,$D$12)</f>
        <v>0</v>
      </c>
      <c r="D209" s="78" t="n">
        <f aca="false">IF(H208&lt;=$D$5,0,H208)</f>
        <v>3.78399999999999</v>
      </c>
      <c r="E209" s="78" t="n">
        <f aca="false">ABS(IF(C209=0,0,IF(D209&gt;C209,0,ROUNDUP(((C209-$D$6-D209)/$D$4),0))))</f>
        <v>0</v>
      </c>
      <c r="F209" s="78" t="n">
        <f aca="false">IF(AND(D209=0,E209=0),E209,IF(D209=0,E209-1,E209))</f>
        <v>0</v>
      </c>
      <c r="G209" s="78" t="n">
        <f aca="false">F209*$D$6</f>
        <v>0</v>
      </c>
      <c r="H209" s="79" t="n">
        <f aca="false">((E209*$D$3)-G209)-C209+D209</f>
        <v>3.78399999999999</v>
      </c>
    </row>
    <row r="210" customFormat="false" ht="15" hidden="false" customHeight="false" outlineLevel="0" collapsed="false">
      <c r="B210" s="77" t="n">
        <v>193</v>
      </c>
      <c r="C210" s="78" t="n">
        <f aca="false">IF($D$11-B210&lt;0,0,$D$12)</f>
        <v>0</v>
      </c>
      <c r="D210" s="78" t="n">
        <f aca="false">IF(H209&lt;=$D$5,0,H209)</f>
        <v>3.78399999999999</v>
      </c>
      <c r="E210" s="78" t="n">
        <f aca="false">ABS(IF(C210=0,0,IF(D210&gt;C210,0,ROUNDUP(((C210-$D$6-D210)/$D$4),0))))</f>
        <v>0</v>
      </c>
      <c r="F210" s="78" t="n">
        <f aca="false">IF(AND(D210=0,E210=0),E210,IF(D210=0,E210-1,E210))</f>
        <v>0</v>
      </c>
      <c r="G210" s="78" t="n">
        <f aca="false">F210*$D$6</f>
        <v>0</v>
      </c>
      <c r="H210" s="79" t="n">
        <f aca="false">((E210*$D$3)-G210)-C210+D210</f>
        <v>3.78399999999999</v>
      </c>
    </row>
    <row r="211" customFormat="false" ht="15" hidden="false" customHeight="false" outlineLevel="0" collapsed="false">
      <c r="B211" s="77" t="n">
        <v>194</v>
      </c>
      <c r="C211" s="78" t="n">
        <f aca="false">IF($D$11-B211&lt;0,0,$D$12)</f>
        <v>0</v>
      </c>
      <c r="D211" s="78" t="n">
        <f aca="false">IF(H210&lt;=$D$5,0,H210)</f>
        <v>3.78399999999999</v>
      </c>
      <c r="E211" s="78" t="n">
        <f aca="false">ABS(IF(C211=0,0,IF(D211&gt;C211,0,ROUNDUP(((C211-$D$6-D211)/$D$4),0))))</f>
        <v>0</v>
      </c>
      <c r="F211" s="78" t="n">
        <f aca="false">IF(AND(D211=0,E211=0),E211,IF(D211=0,E211-1,E211))</f>
        <v>0</v>
      </c>
      <c r="G211" s="78" t="n">
        <f aca="false">F211*$D$6</f>
        <v>0</v>
      </c>
      <c r="H211" s="79" t="n">
        <f aca="false">((E211*$D$3)-G211)-C211+D211</f>
        <v>3.78399999999999</v>
      </c>
    </row>
    <row r="212" customFormat="false" ht="15" hidden="false" customHeight="false" outlineLevel="0" collapsed="false">
      <c r="B212" s="77" t="n">
        <v>195</v>
      </c>
      <c r="C212" s="78" t="n">
        <f aca="false">IF($D$11-B212&lt;0,0,$D$12)</f>
        <v>0</v>
      </c>
      <c r="D212" s="78" t="n">
        <f aca="false">IF(H211&lt;=$D$5,0,H211)</f>
        <v>3.78399999999999</v>
      </c>
      <c r="E212" s="78" t="n">
        <f aca="false">ABS(IF(C212=0,0,IF(D212&gt;C212,0,ROUNDUP(((C212-$D$6-D212)/$D$4),0))))</f>
        <v>0</v>
      </c>
      <c r="F212" s="78" t="n">
        <f aca="false">IF(AND(D212=0,E212=0),E212,IF(D212=0,E212-1,E212))</f>
        <v>0</v>
      </c>
      <c r="G212" s="78" t="n">
        <f aca="false">F212*$D$6</f>
        <v>0</v>
      </c>
      <c r="H212" s="79" t="n">
        <f aca="false">((E212*$D$3)-G212)-C212+D212</f>
        <v>3.78399999999999</v>
      </c>
    </row>
    <row r="213" customFormat="false" ht="15" hidden="false" customHeight="false" outlineLevel="0" collapsed="false">
      <c r="B213" s="77" t="n">
        <v>196</v>
      </c>
      <c r="C213" s="78" t="n">
        <f aca="false">IF($D$11-B213&lt;0,0,$D$12)</f>
        <v>0</v>
      </c>
      <c r="D213" s="78" t="n">
        <f aca="false">IF(H212&lt;=$D$5,0,H212)</f>
        <v>3.78399999999999</v>
      </c>
      <c r="E213" s="78" t="n">
        <f aca="false">ABS(IF(C213=0,0,IF(D213&gt;C213,0,ROUNDUP(((C213-$D$6-D213)/$D$4),0))))</f>
        <v>0</v>
      </c>
      <c r="F213" s="78" t="n">
        <f aca="false">IF(AND(D213=0,E213=0),E213,IF(D213=0,E213-1,E213))</f>
        <v>0</v>
      </c>
      <c r="G213" s="78" t="n">
        <f aca="false">F213*$D$6</f>
        <v>0</v>
      </c>
      <c r="H213" s="79" t="n">
        <f aca="false">((E213*$D$3)-G213)-C213+D213</f>
        <v>3.78399999999999</v>
      </c>
    </row>
    <row r="214" customFormat="false" ht="15" hidden="false" customHeight="false" outlineLevel="0" collapsed="false">
      <c r="B214" s="77" t="n">
        <v>197</v>
      </c>
      <c r="C214" s="78" t="n">
        <f aca="false">IF($D$11-B214&lt;0,0,$D$12)</f>
        <v>0</v>
      </c>
      <c r="D214" s="78" t="n">
        <f aca="false">IF(H213&lt;=$D$5,0,H213)</f>
        <v>3.78399999999999</v>
      </c>
      <c r="E214" s="78" t="n">
        <f aca="false">ABS(IF(C214=0,0,IF(D214&gt;C214,0,ROUNDUP(((C214-$D$6-D214)/$D$4),0))))</f>
        <v>0</v>
      </c>
      <c r="F214" s="78" t="n">
        <f aca="false">IF(AND(D214=0,E214=0),E214,IF(D214=0,E214-1,E214))</f>
        <v>0</v>
      </c>
      <c r="G214" s="78" t="n">
        <f aca="false">F214*$D$6</f>
        <v>0</v>
      </c>
      <c r="H214" s="79" t="n">
        <f aca="false">((E214*$D$3)-G214)-C214+D214</f>
        <v>3.78399999999999</v>
      </c>
    </row>
    <row r="215" customFormat="false" ht="15" hidden="false" customHeight="false" outlineLevel="0" collapsed="false">
      <c r="B215" s="77" t="n">
        <v>198</v>
      </c>
      <c r="C215" s="78" t="n">
        <f aca="false">IF($D$11-B215&lt;0,0,$D$12)</f>
        <v>0</v>
      </c>
      <c r="D215" s="78" t="n">
        <f aca="false">IF(H214&lt;=$D$5,0,H214)</f>
        <v>3.78399999999999</v>
      </c>
      <c r="E215" s="78" t="n">
        <f aca="false">ABS(IF(C215=0,0,IF(D215&gt;C215,0,ROUNDUP(((C215-$D$6-D215)/$D$4),0))))</f>
        <v>0</v>
      </c>
      <c r="F215" s="78" t="n">
        <f aca="false">IF(AND(D215=0,E215=0),E215,IF(D215=0,E215-1,E215))</f>
        <v>0</v>
      </c>
      <c r="G215" s="78" t="n">
        <f aca="false">F215*$D$6</f>
        <v>0</v>
      </c>
      <c r="H215" s="79" t="n">
        <f aca="false">((E215*$D$3)-G215)-C215+D215</f>
        <v>3.78399999999999</v>
      </c>
    </row>
    <row r="216" customFormat="false" ht="15" hidden="false" customHeight="false" outlineLevel="0" collapsed="false">
      <c r="B216" s="77" t="n">
        <v>199</v>
      </c>
      <c r="C216" s="78" t="n">
        <f aca="false">IF($D$11-B216&lt;0,0,$D$12)</f>
        <v>0</v>
      </c>
      <c r="D216" s="78" t="n">
        <f aca="false">IF(H215&lt;=$D$5,0,H215)</f>
        <v>3.78399999999999</v>
      </c>
      <c r="E216" s="78" t="n">
        <f aca="false">ABS(IF(C216=0,0,IF(D216&gt;C216,0,ROUNDUP(((C216-$D$6-D216)/$D$4),0))))</f>
        <v>0</v>
      </c>
      <c r="F216" s="78" t="n">
        <f aca="false">IF(AND(D216=0,E216=0),E216,IF(D216=0,E216-1,E216))</f>
        <v>0</v>
      </c>
      <c r="G216" s="78" t="n">
        <f aca="false">F216*$D$6</f>
        <v>0</v>
      </c>
      <c r="H216" s="79" t="n">
        <f aca="false">((E216*$D$3)-G216)-C216+D216</f>
        <v>3.78399999999999</v>
      </c>
    </row>
    <row r="217" customFormat="false" ht="15" hidden="false" customHeight="false" outlineLevel="0" collapsed="false">
      <c r="B217" s="77" t="n">
        <v>200</v>
      </c>
      <c r="C217" s="78" t="n">
        <f aca="false">IF($D$11-B217&lt;0,0,$D$12)</f>
        <v>0</v>
      </c>
      <c r="D217" s="78" t="n">
        <f aca="false">IF(H216&lt;=$D$5,0,H216)</f>
        <v>3.78399999999999</v>
      </c>
      <c r="E217" s="78" t="n">
        <f aca="false">ABS(IF(C217=0,0,IF(D217&gt;C217,0,ROUNDUP(((C217-$D$6-D217)/$D$4),0))))</f>
        <v>0</v>
      </c>
      <c r="F217" s="78" t="n">
        <f aca="false">IF(AND(D217=0,E217=0),E217,IF(D217=0,E217-1,E217))</f>
        <v>0</v>
      </c>
      <c r="G217" s="78" t="n">
        <f aca="false">F217*$D$6</f>
        <v>0</v>
      </c>
      <c r="H217" s="79" t="n">
        <f aca="false">((E217*$D$3)-G217)-C217+D217</f>
        <v>3.78399999999999</v>
      </c>
    </row>
    <row r="218" customFormat="false" ht="15" hidden="false" customHeight="false" outlineLevel="0" collapsed="false">
      <c r="B218" s="77" t="n">
        <v>201</v>
      </c>
      <c r="C218" s="78" t="n">
        <f aca="false">IF($D$11-B218&lt;0,0,$D$12)</f>
        <v>0</v>
      </c>
      <c r="D218" s="78" t="n">
        <f aca="false">IF(H217&lt;=$D$5,0,H217)</f>
        <v>3.78399999999999</v>
      </c>
      <c r="E218" s="78" t="n">
        <f aca="false">ABS(IF(C218=0,0,IF(D218&gt;C218,0,ROUNDUP(((C218-$D$6-D218)/$D$4),0))))</f>
        <v>0</v>
      </c>
      <c r="F218" s="78" t="n">
        <f aca="false">IF(AND(D218=0,E218=0),E218,IF(D218=0,E218-1,E218))</f>
        <v>0</v>
      </c>
      <c r="G218" s="78" t="n">
        <f aca="false">F218*$D$6</f>
        <v>0</v>
      </c>
      <c r="H218" s="79" t="n">
        <f aca="false">((E218*$D$3)-G218)-C218+D218</f>
        <v>3.78399999999999</v>
      </c>
    </row>
    <row r="219" customFormat="false" ht="15" hidden="false" customHeight="false" outlineLevel="0" collapsed="false">
      <c r="B219" s="77" t="n">
        <v>202</v>
      </c>
      <c r="C219" s="78" t="n">
        <f aca="false">IF($D$11-B219&lt;0,0,$D$12)</f>
        <v>0</v>
      </c>
      <c r="D219" s="78" t="n">
        <f aca="false">IF(H218&lt;=$D$5,0,H218)</f>
        <v>3.78399999999999</v>
      </c>
      <c r="E219" s="78" t="n">
        <f aca="false">ABS(IF(C219=0,0,IF(D219&gt;C219,0,ROUNDUP(((C219-$D$6-D219)/$D$4),0))))</f>
        <v>0</v>
      </c>
      <c r="F219" s="78" t="n">
        <f aca="false">IF(AND(D219=0,E219=0),E219,IF(D219=0,E219-1,E219))</f>
        <v>0</v>
      </c>
      <c r="G219" s="78" t="n">
        <f aca="false">F219*$D$6</f>
        <v>0</v>
      </c>
      <c r="H219" s="79" t="n">
        <f aca="false">((E219*$D$3)-G219)-C219+D219</f>
        <v>3.78399999999999</v>
      </c>
    </row>
    <row r="220" customFormat="false" ht="15" hidden="false" customHeight="false" outlineLevel="0" collapsed="false">
      <c r="B220" s="77" t="n">
        <v>203</v>
      </c>
      <c r="C220" s="78" t="n">
        <f aca="false">IF($D$11-B220&lt;0,0,$D$12)</f>
        <v>0</v>
      </c>
      <c r="D220" s="78" t="n">
        <f aca="false">IF(H219&lt;=$D$5,0,H219)</f>
        <v>3.78399999999999</v>
      </c>
      <c r="E220" s="78" t="n">
        <f aca="false">ABS(IF(C220=0,0,IF(D220&gt;C220,0,ROUNDUP(((C220-$D$6-D220)/$D$4),0))))</f>
        <v>0</v>
      </c>
      <c r="F220" s="78" t="n">
        <f aca="false">IF(AND(D220=0,E220=0),E220,IF(D220=0,E220-1,E220))</f>
        <v>0</v>
      </c>
      <c r="G220" s="78" t="n">
        <f aca="false">F220*$D$6</f>
        <v>0</v>
      </c>
      <c r="H220" s="79" t="n">
        <f aca="false">((E220*$D$3)-G220)-C220+D220</f>
        <v>3.78399999999999</v>
      </c>
    </row>
    <row r="221" customFormat="false" ht="15" hidden="false" customHeight="false" outlineLevel="0" collapsed="false">
      <c r="B221" s="77" t="n">
        <v>204</v>
      </c>
      <c r="C221" s="78" t="n">
        <f aca="false">IF($D$11-B221&lt;0,0,$D$12)</f>
        <v>0</v>
      </c>
      <c r="D221" s="78" t="n">
        <f aca="false">IF(H220&lt;=$D$5,0,H220)</f>
        <v>3.78399999999999</v>
      </c>
      <c r="E221" s="78" t="n">
        <f aca="false">ABS(IF(C221=0,0,IF(D221&gt;C221,0,ROUNDUP(((C221-$D$6-D221)/$D$4),0))))</f>
        <v>0</v>
      </c>
      <c r="F221" s="78" t="n">
        <f aca="false">IF(AND(D221=0,E221=0),E221,IF(D221=0,E221-1,E221))</f>
        <v>0</v>
      </c>
      <c r="G221" s="78" t="n">
        <f aca="false">F221*$D$6</f>
        <v>0</v>
      </c>
      <c r="H221" s="79" t="n">
        <f aca="false">((E221*$D$3)-G221)-C221+D221</f>
        <v>3.78399999999999</v>
      </c>
    </row>
    <row r="222" customFormat="false" ht="15" hidden="false" customHeight="false" outlineLevel="0" collapsed="false">
      <c r="B222" s="77" t="n">
        <v>205</v>
      </c>
      <c r="C222" s="78" t="n">
        <f aca="false">IF($D$11-B222&lt;0,0,$D$12)</f>
        <v>0</v>
      </c>
      <c r="D222" s="78" t="n">
        <f aca="false">IF(H221&lt;=$D$5,0,H221)</f>
        <v>3.78399999999999</v>
      </c>
      <c r="E222" s="78" t="n">
        <f aca="false">ABS(IF(C222=0,0,IF(D222&gt;C222,0,ROUNDUP(((C222-$D$6-D222)/$D$4),0))))</f>
        <v>0</v>
      </c>
      <c r="F222" s="78" t="n">
        <f aca="false">IF(AND(D222=0,E222=0),E222,IF(D222=0,E222-1,E222))</f>
        <v>0</v>
      </c>
      <c r="G222" s="78" t="n">
        <f aca="false">F222*$D$6</f>
        <v>0</v>
      </c>
      <c r="H222" s="79" t="n">
        <f aca="false">((E222*$D$3)-G222)-C222+D222</f>
        <v>3.78399999999999</v>
      </c>
    </row>
    <row r="223" customFormat="false" ht="15" hidden="false" customHeight="false" outlineLevel="0" collapsed="false">
      <c r="B223" s="77" t="n">
        <v>206</v>
      </c>
      <c r="C223" s="78" t="n">
        <f aca="false">IF($D$11-B223&lt;0,0,$D$12)</f>
        <v>0</v>
      </c>
      <c r="D223" s="78" t="n">
        <f aca="false">IF(H222&lt;=$D$5,0,H222)</f>
        <v>3.78399999999999</v>
      </c>
      <c r="E223" s="78" t="n">
        <f aca="false">ABS(IF(C223=0,0,IF(D223&gt;C223,0,ROUNDUP(((C223-$D$6-D223)/$D$4),0))))</f>
        <v>0</v>
      </c>
      <c r="F223" s="78" t="n">
        <f aca="false">IF(AND(D223=0,E223=0),E223,IF(D223=0,E223-1,E223))</f>
        <v>0</v>
      </c>
      <c r="G223" s="78" t="n">
        <f aca="false">F223*$D$6</f>
        <v>0</v>
      </c>
      <c r="H223" s="79" t="n">
        <f aca="false">((E223*$D$3)-G223)-C223+D223</f>
        <v>3.78399999999999</v>
      </c>
    </row>
    <row r="224" customFormat="false" ht="15" hidden="false" customHeight="false" outlineLevel="0" collapsed="false">
      <c r="B224" s="77" t="n">
        <v>207</v>
      </c>
      <c r="C224" s="78" t="n">
        <f aca="false">IF($D$11-B224&lt;0,0,$D$12)</f>
        <v>0</v>
      </c>
      <c r="D224" s="78" t="n">
        <f aca="false">IF(H223&lt;=$D$5,0,H223)</f>
        <v>3.78399999999999</v>
      </c>
      <c r="E224" s="78" t="n">
        <f aca="false">ABS(IF(C224=0,0,IF(D224&gt;C224,0,ROUNDUP(((C224-$D$6-D224)/$D$4),0))))</f>
        <v>0</v>
      </c>
      <c r="F224" s="78" t="n">
        <f aca="false">IF(AND(D224=0,E224=0),E224,IF(D224=0,E224-1,E224))</f>
        <v>0</v>
      </c>
      <c r="G224" s="78" t="n">
        <f aca="false">F224*$D$6</f>
        <v>0</v>
      </c>
      <c r="H224" s="79" t="n">
        <f aca="false">((E224*$D$3)-G224)-C224+D224</f>
        <v>3.78399999999999</v>
      </c>
    </row>
    <row r="225" customFormat="false" ht="15" hidden="false" customHeight="false" outlineLevel="0" collapsed="false">
      <c r="B225" s="77" t="n">
        <v>208</v>
      </c>
      <c r="C225" s="78" t="n">
        <f aca="false">IF($D$11-B225&lt;0,0,$D$12)</f>
        <v>0</v>
      </c>
      <c r="D225" s="78" t="n">
        <f aca="false">IF(H224&lt;=$D$5,0,H224)</f>
        <v>3.78399999999999</v>
      </c>
      <c r="E225" s="78" t="n">
        <f aca="false">ABS(IF(C225=0,0,IF(D225&gt;C225,0,ROUNDUP(((C225-$D$6-D225)/$D$4),0))))</f>
        <v>0</v>
      </c>
      <c r="F225" s="78" t="n">
        <f aca="false">IF(AND(D225=0,E225=0),E225,IF(D225=0,E225-1,E225))</f>
        <v>0</v>
      </c>
      <c r="G225" s="78" t="n">
        <f aca="false">F225*$D$6</f>
        <v>0</v>
      </c>
      <c r="H225" s="79" t="n">
        <f aca="false">((E225*$D$3)-G225)-C225+D225</f>
        <v>3.78399999999999</v>
      </c>
    </row>
    <row r="226" customFormat="false" ht="15" hidden="false" customHeight="false" outlineLevel="0" collapsed="false">
      <c r="B226" s="77" t="n">
        <v>209</v>
      </c>
      <c r="C226" s="78" t="n">
        <f aca="false">IF($D$11-B226&lt;0,0,$D$12)</f>
        <v>0</v>
      </c>
      <c r="D226" s="78" t="n">
        <f aca="false">IF(H225&lt;=$D$5,0,H225)</f>
        <v>3.78399999999999</v>
      </c>
      <c r="E226" s="78" t="n">
        <f aca="false">ABS(IF(C226=0,0,IF(D226&gt;C226,0,ROUNDUP(((C226-$D$6-D226)/$D$4),0))))</f>
        <v>0</v>
      </c>
      <c r="F226" s="78" t="n">
        <f aca="false">IF(AND(D226=0,E226=0),E226,IF(D226=0,E226-1,E226))</f>
        <v>0</v>
      </c>
      <c r="G226" s="78" t="n">
        <f aca="false">F226*$D$6</f>
        <v>0</v>
      </c>
      <c r="H226" s="79" t="n">
        <f aca="false">((E226*$D$3)-G226)-C226+D226</f>
        <v>3.78399999999999</v>
      </c>
    </row>
    <row r="227" customFormat="false" ht="15" hidden="false" customHeight="false" outlineLevel="0" collapsed="false">
      <c r="B227" s="77" t="n">
        <v>210</v>
      </c>
      <c r="C227" s="78" t="n">
        <f aca="false">IF($D$11-B227&lt;0,0,$D$12)</f>
        <v>0</v>
      </c>
      <c r="D227" s="78" t="n">
        <f aca="false">IF(H226&lt;=$D$5,0,H226)</f>
        <v>3.78399999999999</v>
      </c>
      <c r="E227" s="78" t="n">
        <f aca="false">ABS(IF(C227=0,0,IF(D227&gt;C227,0,ROUNDUP(((C227-$D$6-D227)/$D$4),0))))</f>
        <v>0</v>
      </c>
      <c r="F227" s="78" t="n">
        <f aca="false">IF(AND(D227=0,E227=0),E227,IF(D227=0,E227-1,E227))</f>
        <v>0</v>
      </c>
      <c r="G227" s="78" t="n">
        <f aca="false">F227*$D$6</f>
        <v>0</v>
      </c>
      <c r="H227" s="79" t="n">
        <f aca="false">((E227*$D$3)-G227)-C227+D227</f>
        <v>3.78399999999999</v>
      </c>
    </row>
    <row r="228" customFormat="false" ht="15" hidden="false" customHeight="false" outlineLevel="0" collapsed="false">
      <c r="B228" s="77" t="n">
        <v>211</v>
      </c>
      <c r="C228" s="78" t="n">
        <f aca="false">IF($D$11-B228&lt;0,0,$D$12)</f>
        <v>0</v>
      </c>
      <c r="D228" s="78" t="n">
        <f aca="false">IF(H227&lt;=$D$5,0,H227)</f>
        <v>3.78399999999999</v>
      </c>
      <c r="E228" s="78" t="n">
        <f aca="false">ABS(IF(C228=0,0,IF(D228&gt;C228,0,ROUNDUP(((C228-$D$6-D228)/$D$4),0))))</f>
        <v>0</v>
      </c>
      <c r="F228" s="78" t="n">
        <f aca="false">IF(AND(D228=0,E228=0),E228,IF(D228=0,E228-1,E228))</f>
        <v>0</v>
      </c>
      <c r="G228" s="78" t="n">
        <f aca="false">F228*$D$6</f>
        <v>0</v>
      </c>
      <c r="H228" s="79" t="n">
        <f aca="false">((E228*$D$3)-G228)-C228+D228</f>
        <v>3.78399999999999</v>
      </c>
    </row>
    <row r="229" customFormat="false" ht="15" hidden="false" customHeight="false" outlineLevel="0" collapsed="false">
      <c r="B229" s="77" t="n">
        <v>212</v>
      </c>
      <c r="C229" s="78" t="n">
        <f aca="false">IF($D$11-B229&lt;0,0,$D$12)</f>
        <v>0</v>
      </c>
      <c r="D229" s="78" t="n">
        <f aca="false">IF(H228&lt;=$D$5,0,H228)</f>
        <v>3.78399999999999</v>
      </c>
      <c r="E229" s="78" t="n">
        <f aca="false">ABS(IF(C229=0,0,IF(D229&gt;C229,0,ROUNDUP(((C229-$D$6-D229)/$D$4),0))))</f>
        <v>0</v>
      </c>
      <c r="F229" s="78" t="n">
        <f aca="false">IF(AND(D229=0,E229=0),E229,IF(D229=0,E229-1,E229))</f>
        <v>0</v>
      </c>
      <c r="G229" s="78" t="n">
        <f aca="false">F229*$D$6</f>
        <v>0</v>
      </c>
      <c r="H229" s="79" t="n">
        <f aca="false">((E229*$D$3)-G229)-C229+D229</f>
        <v>3.78399999999999</v>
      </c>
    </row>
    <row r="230" customFormat="false" ht="15" hidden="false" customHeight="false" outlineLevel="0" collapsed="false">
      <c r="B230" s="77" t="n">
        <v>213</v>
      </c>
      <c r="C230" s="78" t="n">
        <f aca="false">IF($D$11-B230&lt;0,0,$D$12)</f>
        <v>0</v>
      </c>
      <c r="D230" s="78" t="n">
        <f aca="false">IF(H229&lt;=$D$5,0,H229)</f>
        <v>3.78399999999999</v>
      </c>
      <c r="E230" s="78" t="n">
        <f aca="false">ABS(IF(C230=0,0,IF(D230&gt;C230,0,ROUNDUP(((C230-$D$6-D230)/$D$4),0))))</f>
        <v>0</v>
      </c>
      <c r="F230" s="78" t="n">
        <f aca="false">IF(AND(D230=0,E230=0),E230,IF(D230=0,E230-1,E230))</f>
        <v>0</v>
      </c>
      <c r="G230" s="78" t="n">
        <f aca="false">F230*$D$6</f>
        <v>0</v>
      </c>
      <c r="H230" s="79" t="n">
        <f aca="false">((E230*$D$3)-G230)-C230+D230</f>
        <v>3.78399999999999</v>
      </c>
    </row>
    <row r="231" customFormat="false" ht="15" hidden="false" customHeight="false" outlineLevel="0" collapsed="false">
      <c r="B231" s="77" t="n">
        <v>214</v>
      </c>
      <c r="C231" s="78" t="n">
        <f aca="false">IF($D$11-B231&lt;0,0,$D$12)</f>
        <v>0</v>
      </c>
      <c r="D231" s="78" t="n">
        <f aca="false">IF(H230&lt;=$D$5,0,H230)</f>
        <v>3.78399999999999</v>
      </c>
      <c r="E231" s="78" t="n">
        <f aca="false">ABS(IF(C231=0,0,IF(D231&gt;C231,0,ROUNDUP(((C231-$D$6-D231)/$D$4),0))))</f>
        <v>0</v>
      </c>
      <c r="F231" s="78" t="n">
        <f aca="false">IF(AND(D231=0,E231=0),E231,IF(D231=0,E231-1,E231))</f>
        <v>0</v>
      </c>
      <c r="G231" s="78" t="n">
        <f aca="false">F231*$D$6</f>
        <v>0</v>
      </c>
      <c r="H231" s="79" t="n">
        <f aca="false">((E231*$D$3)-G231)-C231+D231</f>
        <v>3.78399999999999</v>
      </c>
    </row>
    <row r="232" customFormat="false" ht="15" hidden="false" customHeight="false" outlineLevel="0" collapsed="false">
      <c r="B232" s="77" t="n">
        <v>215</v>
      </c>
      <c r="C232" s="78" t="n">
        <f aca="false">IF($D$11-B232&lt;0,0,$D$12)</f>
        <v>0</v>
      </c>
      <c r="D232" s="78" t="n">
        <f aca="false">IF(H231&lt;=$D$5,0,H231)</f>
        <v>3.78399999999999</v>
      </c>
      <c r="E232" s="78" t="n">
        <f aca="false">ABS(IF(C232=0,0,IF(D232&gt;C232,0,ROUNDUP(((C232-$D$6-D232)/$D$4),0))))</f>
        <v>0</v>
      </c>
      <c r="F232" s="78" t="n">
        <f aca="false">IF(AND(D232=0,E232=0),E232,IF(D232=0,E232-1,E232))</f>
        <v>0</v>
      </c>
      <c r="G232" s="78" t="n">
        <f aca="false">F232*$D$6</f>
        <v>0</v>
      </c>
      <c r="H232" s="79" t="n">
        <f aca="false">((E232*$D$3)-G232)-C232+D232</f>
        <v>3.78399999999999</v>
      </c>
    </row>
    <row r="233" customFormat="false" ht="15" hidden="false" customHeight="false" outlineLevel="0" collapsed="false">
      <c r="B233" s="77" t="n">
        <v>216</v>
      </c>
      <c r="C233" s="78" t="n">
        <f aca="false">IF($D$11-B233&lt;0,0,$D$12)</f>
        <v>0</v>
      </c>
      <c r="D233" s="78" t="n">
        <f aca="false">IF(H232&lt;=$D$5,0,H232)</f>
        <v>3.78399999999999</v>
      </c>
      <c r="E233" s="78" t="n">
        <f aca="false">ABS(IF(C233=0,0,IF(D233&gt;C233,0,ROUNDUP(((C233-$D$6-D233)/$D$4),0))))</f>
        <v>0</v>
      </c>
      <c r="F233" s="78" t="n">
        <f aca="false">IF(AND(D233=0,E233=0),E233,IF(D233=0,E233-1,E233))</f>
        <v>0</v>
      </c>
      <c r="G233" s="78" t="n">
        <f aca="false">F233*$D$6</f>
        <v>0</v>
      </c>
      <c r="H233" s="79" t="n">
        <f aca="false">((E233*$D$3)-G233)-C233+D233</f>
        <v>3.78399999999999</v>
      </c>
    </row>
    <row r="234" customFormat="false" ht="15" hidden="false" customHeight="false" outlineLevel="0" collapsed="false">
      <c r="B234" s="77" t="n">
        <v>217</v>
      </c>
      <c r="C234" s="78" t="n">
        <f aca="false">IF($D$11-B234&lt;0,0,$D$12)</f>
        <v>0</v>
      </c>
      <c r="D234" s="78" t="n">
        <f aca="false">IF(H233&lt;=$D$5,0,H233)</f>
        <v>3.78399999999999</v>
      </c>
      <c r="E234" s="78" t="n">
        <f aca="false">ABS(IF(C234=0,0,IF(D234&gt;C234,0,ROUNDUP(((C234-$D$6-D234)/$D$4),0))))</f>
        <v>0</v>
      </c>
      <c r="F234" s="78" t="n">
        <f aca="false">IF(AND(D234=0,E234=0),E234,IF(D234=0,E234-1,E234))</f>
        <v>0</v>
      </c>
      <c r="G234" s="78" t="n">
        <f aca="false">F234*$D$6</f>
        <v>0</v>
      </c>
      <c r="H234" s="79" t="n">
        <f aca="false">((E234*$D$3)-G234)-C234+D234</f>
        <v>3.78399999999999</v>
      </c>
    </row>
    <row r="235" customFormat="false" ht="15" hidden="false" customHeight="false" outlineLevel="0" collapsed="false">
      <c r="B235" s="77" t="n">
        <v>218</v>
      </c>
      <c r="C235" s="78" t="n">
        <f aca="false">IF($D$11-B235&lt;0,0,$D$12)</f>
        <v>0</v>
      </c>
      <c r="D235" s="78" t="n">
        <f aca="false">IF(H234&lt;=$D$5,0,H234)</f>
        <v>3.78399999999999</v>
      </c>
      <c r="E235" s="78" t="n">
        <f aca="false">ABS(IF(C235=0,0,IF(D235&gt;C235,0,ROUNDUP(((C235-$D$6-D235)/$D$4),0))))</f>
        <v>0</v>
      </c>
      <c r="F235" s="78" t="n">
        <f aca="false">IF(AND(D235=0,E235=0),E235,IF(D235=0,E235-1,E235))</f>
        <v>0</v>
      </c>
      <c r="G235" s="78" t="n">
        <f aca="false">F235*$D$6</f>
        <v>0</v>
      </c>
      <c r="H235" s="79" t="n">
        <f aca="false">((E235*$D$3)-G235)-C235+D235</f>
        <v>3.78399999999999</v>
      </c>
    </row>
    <row r="236" customFormat="false" ht="15" hidden="false" customHeight="false" outlineLevel="0" collapsed="false">
      <c r="B236" s="77" t="n">
        <v>219</v>
      </c>
      <c r="C236" s="78" t="n">
        <f aca="false">IF($D$11-B236&lt;0,0,$D$12)</f>
        <v>0</v>
      </c>
      <c r="D236" s="78" t="n">
        <f aca="false">IF(H235&lt;=$D$5,0,H235)</f>
        <v>3.78399999999999</v>
      </c>
      <c r="E236" s="78" t="n">
        <f aca="false">ABS(IF(C236=0,0,IF(D236&gt;C236,0,ROUNDUP(((C236-$D$6-D236)/$D$4),0))))</f>
        <v>0</v>
      </c>
      <c r="F236" s="78" t="n">
        <f aca="false">IF(AND(D236=0,E236=0),E236,IF(D236=0,E236-1,E236))</f>
        <v>0</v>
      </c>
      <c r="G236" s="78" t="n">
        <f aca="false">F236*$D$6</f>
        <v>0</v>
      </c>
      <c r="H236" s="79" t="n">
        <f aca="false">((E236*$D$3)-G236)-C236+D236</f>
        <v>3.78399999999999</v>
      </c>
    </row>
    <row r="237" customFormat="false" ht="15" hidden="false" customHeight="false" outlineLevel="0" collapsed="false">
      <c r="B237" s="77" t="n">
        <v>220</v>
      </c>
      <c r="C237" s="78" t="n">
        <f aca="false">IF($D$11-B237&lt;0,0,$D$12)</f>
        <v>0</v>
      </c>
      <c r="D237" s="78" t="n">
        <f aca="false">IF(H236&lt;=$D$5,0,H236)</f>
        <v>3.78399999999999</v>
      </c>
      <c r="E237" s="78" t="n">
        <f aca="false">ABS(IF(C237=0,0,IF(D237&gt;C237,0,ROUNDUP(((C237-$D$6-D237)/$D$4),0))))</f>
        <v>0</v>
      </c>
      <c r="F237" s="78" t="n">
        <f aca="false">IF(AND(D237=0,E237=0),E237,IF(D237=0,E237-1,E237))</f>
        <v>0</v>
      </c>
      <c r="G237" s="78" t="n">
        <f aca="false">F237*$D$6</f>
        <v>0</v>
      </c>
      <c r="H237" s="79" t="n">
        <f aca="false">((E237*$D$3)-G237)-C237+D237</f>
        <v>3.78399999999999</v>
      </c>
    </row>
    <row r="238" customFormat="false" ht="15" hidden="false" customHeight="false" outlineLevel="0" collapsed="false">
      <c r="B238" s="77" t="n">
        <v>221</v>
      </c>
      <c r="C238" s="78" t="n">
        <f aca="false">IF($D$11-B238&lt;0,0,$D$12)</f>
        <v>0</v>
      </c>
      <c r="D238" s="78" t="n">
        <f aca="false">IF(H237&lt;=$D$5,0,H237)</f>
        <v>3.78399999999999</v>
      </c>
      <c r="E238" s="78" t="n">
        <f aca="false">ABS(IF(C238=0,0,IF(D238&gt;C238,0,ROUNDUP(((C238-$D$6-D238)/$D$4),0))))</f>
        <v>0</v>
      </c>
      <c r="F238" s="78" t="n">
        <f aca="false">IF(AND(D238=0,E238=0),E238,IF(D238=0,E238-1,E238))</f>
        <v>0</v>
      </c>
      <c r="G238" s="78" t="n">
        <f aca="false">F238*$D$6</f>
        <v>0</v>
      </c>
      <c r="H238" s="79" t="n">
        <f aca="false">((E238*$D$3)-G238)-C238+D238</f>
        <v>3.78399999999999</v>
      </c>
    </row>
    <row r="239" customFormat="false" ht="15" hidden="false" customHeight="false" outlineLevel="0" collapsed="false">
      <c r="B239" s="77" t="n">
        <v>222</v>
      </c>
      <c r="C239" s="78" t="n">
        <f aca="false">IF($D$11-B239&lt;0,0,$D$12)</f>
        <v>0</v>
      </c>
      <c r="D239" s="78" t="n">
        <f aca="false">IF(H238&lt;=$D$5,0,H238)</f>
        <v>3.78399999999999</v>
      </c>
      <c r="E239" s="78" t="n">
        <f aca="false">ABS(IF(C239=0,0,IF(D239&gt;C239,0,ROUNDUP(((C239-$D$6-D239)/$D$4),0))))</f>
        <v>0</v>
      </c>
      <c r="F239" s="78" t="n">
        <f aca="false">IF(AND(D239=0,E239=0),E239,IF(D239=0,E239-1,E239))</f>
        <v>0</v>
      </c>
      <c r="G239" s="78" t="n">
        <f aca="false">F239*$D$6</f>
        <v>0</v>
      </c>
      <c r="H239" s="79" t="n">
        <f aca="false">((E239*$D$3)-G239)-C239+D239</f>
        <v>3.78399999999999</v>
      </c>
    </row>
    <row r="240" customFormat="false" ht="15" hidden="false" customHeight="false" outlineLevel="0" collapsed="false">
      <c r="B240" s="77" t="n">
        <v>223</v>
      </c>
      <c r="C240" s="78" t="n">
        <f aca="false">IF($D$11-B240&lt;0,0,$D$12)</f>
        <v>0</v>
      </c>
      <c r="D240" s="78" t="n">
        <f aca="false">IF(H239&lt;=$D$5,0,H239)</f>
        <v>3.78399999999999</v>
      </c>
      <c r="E240" s="78" t="n">
        <f aca="false">ABS(IF(C240=0,0,IF(D240&gt;C240,0,ROUNDUP(((C240-$D$6-D240)/$D$4),0))))</f>
        <v>0</v>
      </c>
      <c r="F240" s="78" t="n">
        <f aca="false">IF(AND(D240=0,E240=0),E240,IF(D240=0,E240-1,E240))</f>
        <v>0</v>
      </c>
      <c r="G240" s="78" t="n">
        <f aca="false">F240*$D$6</f>
        <v>0</v>
      </c>
      <c r="H240" s="79" t="n">
        <f aca="false">((E240*$D$3)-G240)-C240+D240</f>
        <v>3.78399999999999</v>
      </c>
    </row>
    <row r="241" customFormat="false" ht="15" hidden="false" customHeight="false" outlineLevel="0" collapsed="false">
      <c r="B241" s="77" t="n">
        <v>224</v>
      </c>
      <c r="C241" s="78" t="n">
        <f aca="false">IF($D$11-B241&lt;0,0,$D$12)</f>
        <v>0</v>
      </c>
      <c r="D241" s="78" t="n">
        <f aca="false">IF(H240&lt;=$D$5,0,H240)</f>
        <v>3.78399999999999</v>
      </c>
      <c r="E241" s="78" t="n">
        <f aca="false">ABS(IF(C241=0,0,IF(D241&gt;C241,0,ROUNDUP(((C241-$D$6-D241)/$D$4),0))))</f>
        <v>0</v>
      </c>
      <c r="F241" s="78" t="n">
        <f aca="false">IF(AND(D241=0,E241=0),E241,IF(D241=0,E241-1,E241))</f>
        <v>0</v>
      </c>
      <c r="G241" s="78" t="n">
        <f aca="false">F241*$D$6</f>
        <v>0</v>
      </c>
      <c r="H241" s="79" t="n">
        <f aca="false">((E241*$D$3)-G241)-C241+D241</f>
        <v>3.78399999999999</v>
      </c>
    </row>
    <row r="242" customFormat="false" ht="15" hidden="false" customHeight="false" outlineLevel="0" collapsed="false">
      <c r="B242" s="77" t="n">
        <v>225</v>
      </c>
      <c r="C242" s="78" t="n">
        <f aca="false">IF($D$11-B242&lt;0,0,$D$12)</f>
        <v>0</v>
      </c>
      <c r="D242" s="78" t="n">
        <f aca="false">IF(H241&lt;=$D$5,0,H241)</f>
        <v>3.78399999999999</v>
      </c>
      <c r="E242" s="78" t="n">
        <f aca="false">ABS(IF(C242=0,0,IF(D242&gt;C242,0,ROUNDUP(((C242-$D$6-D242)/$D$4),0))))</f>
        <v>0</v>
      </c>
      <c r="F242" s="78" t="n">
        <f aca="false">IF(AND(D242=0,E242=0),E242,IF(D242=0,E242-1,E242))</f>
        <v>0</v>
      </c>
      <c r="G242" s="78" t="n">
        <f aca="false">F242*$D$6</f>
        <v>0</v>
      </c>
      <c r="H242" s="79" t="n">
        <f aca="false">((E242*$D$3)-G242)-C242+D242</f>
        <v>3.78399999999999</v>
      </c>
    </row>
    <row r="243" customFormat="false" ht="15" hidden="false" customHeight="false" outlineLevel="0" collapsed="false">
      <c r="B243" s="77" t="n">
        <v>226</v>
      </c>
      <c r="C243" s="78" t="n">
        <f aca="false">IF($D$11-B243&lt;0,0,$D$12)</f>
        <v>0</v>
      </c>
      <c r="D243" s="78" t="n">
        <f aca="false">IF(H242&lt;=$D$5,0,H242)</f>
        <v>3.78399999999999</v>
      </c>
      <c r="E243" s="78" t="n">
        <f aca="false">ABS(IF(C243=0,0,IF(D243&gt;C243,0,ROUNDUP(((C243-$D$6-D243)/$D$4),0))))</f>
        <v>0</v>
      </c>
      <c r="F243" s="78" t="n">
        <f aca="false">IF(AND(D243=0,E243=0),E243,IF(D243=0,E243-1,E243))</f>
        <v>0</v>
      </c>
      <c r="G243" s="78" t="n">
        <f aca="false">F243*$D$6</f>
        <v>0</v>
      </c>
      <c r="H243" s="79" t="n">
        <f aca="false">((E243*$D$3)-G243)-C243+D243</f>
        <v>3.78399999999999</v>
      </c>
    </row>
    <row r="244" customFormat="false" ht="15" hidden="false" customHeight="false" outlineLevel="0" collapsed="false">
      <c r="B244" s="77" t="n">
        <v>227</v>
      </c>
      <c r="C244" s="78" t="n">
        <f aca="false">IF($D$11-B244&lt;0,0,$D$12)</f>
        <v>0</v>
      </c>
      <c r="D244" s="78" t="n">
        <f aca="false">IF(H243&lt;=$D$5,0,H243)</f>
        <v>3.78399999999999</v>
      </c>
      <c r="E244" s="78" t="n">
        <f aca="false">ABS(IF(C244=0,0,IF(D244&gt;C244,0,ROUNDUP(((C244-$D$6-D244)/$D$4),0))))</f>
        <v>0</v>
      </c>
      <c r="F244" s="78" t="n">
        <f aca="false">IF(AND(D244=0,E244=0),E244,IF(D244=0,E244-1,E244))</f>
        <v>0</v>
      </c>
      <c r="G244" s="78" t="n">
        <f aca="false">F244*$D$6</f>
        <v>0</v>
      </c>
      <c r="H244" s="79" t="n">
        <f aca="false">((E244*$D$3)-G244)-C244+D244</f>
        <v>3.78399999999999</v>
      </c>
    </row>
    <row r="245" customFormat="false" ht="15" hidden="false" customHeight="false" outlineLevel="0" collapsed="false">
      <c r="B245" s="77" t="n">
        <v>228</v>
      </c>
      <c r="C245" s="78" t="n">
        <f aca="false">IF($D$11-B245&lt;0,0,$D$12)</f>
        <v>0</v>
      </c>
      <c r="D245" s="78" t="n">
        <f aca="false">IF(H244&lt;=$D$5,0,H244)</f>
        <v>3.78399999999999</v>
      </c>
      <c r="E245" s="78" t="n">
        <f aca="false">ABS(IF(C245=0,0,IF(D245&gt;C245,0,ROUNDUP(((C245-$D$6-D245)/$D$4),0))))</f>
        <v>0</v>
      </c>
      <c r="F245" s="78" t="n">
        <f aca="false">IF(AND(D245=0,E245=0),E245,IF(D245=0,E245-1,E245))</f>
        <v>0</v>
      </c>
      <c r="G245" s="78" t="n">
        <f aca="false">F245*$D$6</f>
        <v>0</v>
      </c>
      <c r="H245" s="79" t="n">
        <f aca="false">((E245*$D$3)-G245)-C245+D245</f>
        <v>3.78399999999999</v>
      </c>
    </row>
    <row r="246" customFormat="false" ht="15" hidden="false" customHeight="false" outlineLevel="0" collapsed="false">
      <c r="B246" s="77" t="n">
        <v>229</v>
      </c>
      <c r="C246" s="78" t="n">
        <f aca="false">IF($D$11-B246&lt;0,0,$D$12)</f>
        <v>0</v>
      </c>
      <c r="D246" s="78" t="n">
        <f aca="false">IF(H245&lt;=$D$5,0,H245)</f>
        <v>3.78399999999999</v>
      </c>
      <c r="E246" s="78" t="n">
        <f aca="false">ABS(IF(C246=0,0,IF(D246&gt;C246,0,ROUNDUP(((C246-$D$6-D246)/$D$4),0))))</f>
        <v>0</v>
      </c>
      <c r="F246" s="78" t="n">
        <f aca="false">IF(AND(D246=0,E246=0),E246,IF(D246=0,E246-1,E246))</f>
        <v>0</v>
      </c>
      <c r="G246" s="78" t="n">
        <f aca="false">F246*$D$6</f>
        <v>0</v>
      </c>
      <c r="H246" s="79" t="n">
        <f aca="false">((E246*$D$3)-G246)-C246+D246</f>
        <v>3.78399999999999</v>
      </c>
    </row>
    <row r="247" customFormat="false" ht="15" hidden="false" customHeight="false" outlineLevel="0" collapsed="false">
      <c r="B247" s="77" t="n">
        <v>230</v>
      </c>
      <c r="C247" s="78" t="n">
        <f aca="false">IF($D$11-B247&lt;0,0,$D$12)</f>
        <v>0</v>
      </c>
      <c r="D247" s="78" t="n">
        <f aca="false">IF(H246&lt;=$D$5,0,H246)</f>
        <v>3.78399999999999</v>
      </c>
      <c r="E247" s="78" t="n">
        <f aca="false">ABS(IF(C247=0,0,IF(D247&gt;C247,0,ROUNDUP(((C247-$D$6-D247)/$D$4),0))))</f>
        <v>0</v>
      </c>
      <c r="F247" s="78" t="n">
        <f aca="false">IF(AND(D247=0,E247=0),E247,IF(D247=0,E247-1,E247))</f>
        <v>0</v>
      </c>
      <c r="G247" s="78" t="n">
        <f aca="false">F247*$D$6</f>
        <v>0</v>
      </c>
      <c r="H247" s="79" t="n">
        <f aca="false">((E247*$D$3)-G247)-C247+D247</f>
        <v>3.78399999999999</v>
      </c>
    </row>
    <row r="248" customFormat="false" ht="15" hidden="false" customHeight="false" outlineLevel="0" collapsed="false">
      <c r="B248" s="77" t="n">
        <v>231</v>
      </c>
      <c r="C248" s="78" t="n">
        <f aca="false">IF($D$11-B248&lt;0,0,$D$12)</f>
        <v>0</v>
      </c>
      <c r="D248" s="78" t="n">
        <f aca="false">IF(H247&lt;=$D$5,0,H247)</f>
        <v>3.78399999999999</v>
      </c>
      <c r="E248" s="78" t="n">
        <f aca="false">ABS(IF(C248=0,0,IF(D248&gt;C248,0,ROUNDUP(((C248-$D$6-D248)/$D$4),0))))</f>
        <v>0</v>
      </c>
      <c r="F248" s="78" t="n">
        <f aca="false">IF(AND(D248=0,E248=0),E248,IF(D248=0,E248-1,E248))</f>
        <v>0</v>
      </c>
      <c r="G248" s="78" t="n">
        <f aca="false">F248*$D$6</f>
        <v>0</v>
      </c>
      <c r="H248" s="79" t="n">
        <f aca="false">((E248*$D$3)-G248)-C248+D248</f>
        <v>3.78399999999999</v>
      </c>
    </row>
    <row r="249" customFormat="false" ht="15" hidden="false" customHeight="false" outlineLevel="0" collapsed="false">
      <c r="B249" s="77" t="n">
        <v>232</v>
      </c>
      <c r="C249" s="78" t="n">
        <f aca="false">IF($D$11-B249&lt;0,0,$D$12)</f>
        <v>0</v>
      </c>
      <c r="D249" s="78" t="n">
        <f aca="false">IF(H248&lt;=$D$5,0,H248)</f>
        <v>3.78399999999999</v>
      </c>
      <c r="E249" s="78" t="n">
        <f aca="false">ABS(IF(C249=0,0,IF(D249&gt;C249,0,ROUNDUP(((C249-$D$6-D249)/$D$4),0))))</f>
        <v>0</v>
      </c>
      <c r="F249" s="78" t="n">
        <f aca="false">IF(AND(D249=0,E249=0),E249,IF(D249=0,E249-1,E249))</f>
        <v>0</v>
      </c>
      <c r="G249" s="78" t="n">
        <f aca="false">F249*$D$6</f>
        <v>0</v>
      </c>
      <c r="H249" s="79" t="n">
        <f aca="false">((E249*$D$3)-G249)-C249+D249</f>
        <v>3.78399999999999</v>
      </c>
    </row>
    <row r="250" customFormat="false" ht="15" hidden="false" customHeight="false" outlineLevel="0" collapsed="false">
      <c r="B250" s="77" t="n">
        <v>233</v>
      </c>
      <c r="C250" s="78" t="n">
        <f aca="false">IF($D$11-B250&lt;0,0,$D$12)</f>
        <v>0</v>
      </c>
      <c r="D250" s="78" t="n">
        <f aca="false">IF(H249&lt;=$D$5,0,H249)</f>
        <v>3.78399999999999</v>
      </c>
      <c r="E250" s="78" t="n">
        <f aca="false">ABS(IF(C250=0,0,IF(D250&gt;C250,0,ROUNDUP(((C250-$D$6-D250)/$D$4),0))))</f>
        <v>0</v>
      </c>
      <c r="F250" s="78" t="n">
        <f aca="false">IF(AND(D250=0,E250=0),E250,IF(D250=0,E250-1,E250))</f>
        <v>0</v>
      </c>
      <c r="G250" s="78" t="n">
        <f aca="false">F250*$D$6</f>
        <v>0</v>
      </c>
      <c r="H250" s="79" t="n">
        <f aca="false">((E250*$D$3)-G250)-C250+D250</f>
        <v>3.78399999999999</v>
      </c>
    </row>
    <row r="251" customFormat="false" ht="15" hidden="false" customHeight="false" outlineLevel="0" collapsed="false">
      <c r="B251" s="77" t="n">
        <v>234</v>
      </c>
      <c r="C251" s="78" t="n">
        <f aca="false">IF($D$11-B251&lt;0,0,$D$12)</f>
        <v>0</v>
      </c>
      <c r="D251" s="78" t="n">
        <f aca="false">IF(H250&lt;=$D$5,0,H250)</f>
        <v>3.78399999999999</v>
      </c>
      <c r="E251" s="78" t="n">
        <f aca="false">ABS(IF(C251=0,0,IF(D251&gt;C251,0,ROUNDUP(((C251-$D$6-D251)/$D$4),0))))</f>
        <v>0</v>
      </c>
      <c r="F251" s="78" t="n">
        <f aca="false">IF(AND(D251=0,E251=0),E251,IF(D251=0,E251-1,E251))</f>
        <v>0</v>
      </c>
      <c r="G251" s="78" t="n">
        <f aca="false">F251*$D$6</f>
        <v>0</v>
      </c>
      <c r="H251" s="79" t="n">
        <f aca="false">((E251*$D$3)-G251)-C251+D251</f>
        <v>3.78399999999999</v>
      </c>
    </row>
    <row r="252" customFormat="false" ht="15" hidden="false" customHeight="false" outlineLevel="0" collapsed="false">
      <c r="B252" s="77" t="n">
        <v>235</v>
      </c>
      <c r="C252" s="78" t="n">
        <f aca="false">IF($D$11-B252&lt;0,0,$D$12)</f>
        <v>0</v>
      </c>
      <c r="D252" s="78" t="n">
        <f aca="false">IF(H251&lt;=$D$5,0,H251)</f>
        <v>3.78399999999999</v>
      </c>
      <c r="E252" s="78" t="n">
        <f aca="false">ABS(IF(C252=0,0,IF(D252&gt;C252,0,ROUNDUP(((C252-$D$6-D252)/$D$4),0))))</f>
        <v>0</v>
      </c>
      <c r="F252" s="78" t="n">
        <f aca="false">IF(AND(D252=0,E252=0),E252,IF(D252=0,E252-1,E252))</f>
        <v>0</v>
      </c>
      <c r="G252" s="78" t="n">
        <f aca="false">F252*$D$6</f>
        <v>0</v>
      </c>
      <c r="H252" s="79" t="n">
        <f aca="false">((E252*$D$3)-G252)-C252+D252</f>
        <v>3.78399999999999</v>
      </c>
    </row>
    <row r="253" customFormat="false" ht="15" hidden="false" customHeight="false" outlineLevel="0" collapsed="false">
      <c r="B253" s="77" t="n">
        <v>236</v>
      </c>
      <c r="C253" s="78" t="n">
        <f aca="false">IF($D$11-B253&lt;0,0,$D$12)</f>
        <v>0</v>
      </c>
      <c r="D253" s="78" t="n">
        <f aca="false">IF(H252&lt;=$D$5,0,H252)</f>
        <v>3.78399999999999</v>
      </c>
      <c r="E253" s="78" t="n">
        <f aca="false">ABS(IF(C253=0,0,IF(D253&gt;C253,0,ROUNDUP(((C253-$D$6-D253)/$D$4),0))))</f>
        <v>0</v>
      </c>
      <c r="F253" s="78" t="n">
        <f aca="false">IF(AND(D253=0,E253=0),E253,IF(D253=0,E253-1,E253))</f>
        <v>0</v>
      </c>
      <c r="G253" s="78" t="n">
        <f aca="false">F253*$D$6</f>
        <v>0</v>
      </c>
      <c r="H253" s="79" t="n">
        <f aca="false">((E253*$D$3)-G253)-C253+D253</f>
        <v>3.78399999999999</v>
      </c>
    </row>
    <row r="254" customFormat="false" ht="15" hidden="false" customHeight="false" outlineLevel="0" collapsed="false">
      <c r="B254" s="77" t="n">
        <v>237</v>
      </c>
      <c r="C254" s="78" t="n">
        <f aca="false">IF($D$11-B254&lt;0,0,$D$12)</f>
        <v>0</v>
      </c>
      <c r="D254" s="78" t="n">
        <f aca="false">IF(H253&lt;=$D$5,0,H253)</f>
        <v>3.78399999999999</v>
      </c>
      <c r="E254" s="78" t="n">
        <f aca="false">ABS(IF(C254=0,0,IF(D254&gt;C254,0,ROUNDUP(((C254-$D$6-D254)/$D$4),0))))</f>
        <v>0</v>
      </c>
      <c r="F254" s="78" t="n">
        <f aca="false">IF(AND(D254=0,E254=0),E254,IF(D254=0,E254-1,E254))</f>
        <v>0</v>
      </c>
      <c r="G254" s="78" t="n">
        <f aca="false">F254*$D$6</f>
        <v>0</v>
      </c>
      <c r="H254" s="79" t="n">
        <f aca="false">((E254*$D$3)-G254)-C254+D254</f>
        <v>3.78399999999999</v>
      </c>
    </row>
    <row r="255" customFormat="false" ht="15" hidden="false" customHeight="false" outlineLevel="0" collapsed="false">
      <c r="B255" s="77" t="n">
        <v>238</v>
      </c>
      <c r="C255" s="78" t="n">
        <f aca="false">IF($D$11-B255&lt;0,0,$D$12)</f>
        <v>0</v>
      </c>
      <c r="D255" s="78" t="n">
        <f aca="false">IF(H254&lt;=$D$5,0,H254)</f>
        <v>3.78399999999999</v>
      </c>
      <c r="E255" s="78" t="n">
        <f aca="false">ABS(IF(C255=0,0,IF(D255&gt;C255,0,ROUNDUP(((C255-$D$6-D255)/$D$4),0))))</f>
        <v>0</v>
      </c>
      <c r="F255" s="78" t="n">
        <f aca="false">IF(AND(D255=0,E255=0),E255,IF(D255=0,E255-1,E255))</f>
        <v>0</v>
      </c>
      <c r="G255" s="78" t="n">
        <f aca="false">F255*$D$6</f>
        <v>0</v>
      </c>
      <c r="H255" s="79" t="n">
        <f aca="false">((E255*$D$3)-G255)-C255+D255</f>
        <v>3.78399999999999</v>
      </c>
    </row>
    <row r="256" customFormat="false" ht="15" hidden="false" customHeight="false" outlineLevel="0" collapsed="false">
      <c r="B256" s="77" t="n">
        <v>239</v>
      </c>
      <c r="C256" s="78" t="n">
        <f aca="false">IF($D$11-B256&lt;0,0,$D$12)</f>
        <v>0</v>
      </c>
      <c r="D256" s="78" t="n">
        <f aca="false">IF(H255&lt;=$D$5,0,H255)</f>
        <v>3.78399999999999</v>
      </c>
      <c r="E256" s="78" t="n">
        <f aca="false">ABS(IF(C256=0,0,IF(D256&gt;C256,0,ROUNDUP(((C256-$D$6-D256)/$D$4),0))))</f>
        <v>0</v>
      </c>
      <c r="F256" s="78" t="n">
        <f aca="false">IF(AND(D256=0,E256=0),E256,IF(D256=0,E256-1,E256))</f>
        <v>0</v>
      </c>
      <c r="G256" s="78" t="n">
        <f aca="false">F256*$D$6</f>
        <v>0</v>
      </c>
      <c r="H256" s="79" t="n">
        <f aca="false">((E256*$D$3)-G256)-C256+D256</f>
        <v>3.78399999999999</v>
      </c>
    </row>
    <row r="257" customFormat="false" ht="15" hidden="false" customHeight="false" outlineLevel="0" collapsed="false">
      <c r="B257" s="77" t="n">
        <v>240</v>
      </c>
      <c r="C257" s="78" t="n">
        <f aca="false">IF($D$11-B257&lt;0,0,$D$12)</f>
        <v>0</v>
      </c>
      <c r="D257" s="78" t="n">
        <f aca="false">IF(H256&lt;=$D$5,0,H256)</f>
        <v>3.78399999999999</v>
      </c>
      <c r="E257" s="78" t="n">
        <f aca="false">ABS(IF(C257=0,0,IF(D257&gt;C257,0,ROUNDUP(((C257-$D$6-D257)/$D$4),0))))</f>
        <v>0</v>
      </c>
      <c r="F257" s="78" t="n">
        <f aca="false">IF(AND(D257=0,E257=0),E257,IF(D257=0,E257-1,E257))</f>
        <v>0</v>
      </c>
      <c r="G257" s="78" t="n">
        <f aca="false">F257*$D$6</f>
        <v>0</v>
      </c>
      <c r="H257" s="79" t="n">
        <f aca="false">((E257*$D$3)-G257)-C257+D257</f>
        <v>3.78399999999999</v>
      </c>
    </row>
    <row r="258" customFormat="false" ht="15" hidden="false" customHeight="false" outlineLevel="0" collapsed="false">
      <c r="B258" s="77" t="n">
        <v>241</v>
      </c>
      <c r="C258" s="78" t="n">
        <f aca="false">IF($D$11-B258&lt;0,0,$D$12)</f>
        <v>0</v>
      </c>
      <c r="D258" s="78" t="n">
        <f aca="false">IF(H257&lt;=$D$5,0,H257)</f>
        <v>3.78399999999999</v>
      </c>
      <c r="E258" s="78" t="n">
        <f aca="false">ABS(IF(C258=0,0,IF(D258&gt;C258,0,ROUNDUP(((C258-$D$6-D258)/$D$4),0))))</f>
        <v>0</v>
      </c>
      <c r="F258" s="78" t="n">
        <f aca="false">IF(AND(D258=0,E258=0),E258,IF(D258=0,E258-1,E258))</f>
        <v>0</v>
      </c>
      <c r="G258" s="78" t="n">
        <f aca="false">F258*$D$6</f>
        <v>0</v>
      </c>
      <c r="H258" s="79" t="n">
        <f aca="false">((E258*$D$3)-G258)-C258+D258</f>
        <v>3.78399999999999</v>
      </c>
    </row>
    <row r="259" customFormat="false" ht="15" hidden="false" customHeight="false" outlineLevel="0" collapsed="false">
      <c r="B259" s="77" t="n">
        <v>242</v>
      </c>
      <c r="C259" s="78" t="n">
        <f aca="false">IF($D$11-B259&lt;0,0,$D$12)</f>
        <v>0</v>
      </c>
      <c r="D259" s="78" t="n">
        <f aca="false">IF(H258&lt;=$D$5,0,H258)</f>
        <v>3.78399999999999</v>
      </c>
      <c r="E259" s="78" t="n">
        <f aca="false">ABS(IF(C259=0,0,IF(D259&gt;C259,0,ROUNDUP(((C259-$D$6-D259)/$D$4),0))))</f>
        <v>0</v>
      </c>
      <c r="F259" s="78" t="n">
        <f aca="false">IF(AND(D259=0,E259=0),E259,IF(D259=0,E259-1,E259))</f>
        <v>0</v>
      </c>
      <c r="G259" s="78" t="n">
        <f aca="false">F259*$D$6</f>
        <v>0</v>
      </c>
      <c r="H259" s="79" t="n">
        <f aca="false">((E259*$D$3)-G259)-C259+D259</f>
        <v>3.78399999999999</v>
      </c>
    </row>
    <row r="260" customFormat="false" ht="15" hidden="false" customHeight="false" outlineLevel="0" collapsed="false">
      <c r="B260" s="77" t="n">
        <v>243</v>
      </c>
      <c r="C260" s="78" t="n">
        <f aca="false">IF($D$11-B260&lt;0,0,$D$12)</f>
        <v>0</v>
      </c>
      <c r="D260" s="78" t="n">
        <f aca="false">IF(H259&lt;=$D$5,0,H259)</f>
        <v>3.78399999999999</v>
      </c>
      <c r="E260" s="78" t="n">
        <f aca="false">ABS(IF(C260=0,0,IF(D260&gt;C260,0,ROUNDUP(((C260-$D$6-D260)/$D$4),0))))</f>
        <v>0</v>
      </c>
      <c r="F260" s="78" t="n">
        <f aca="false">IF(AND(D260=0,E260=0),E260,IF(D260=0,E260-1,E260))</f>
        <v>0</v>
      </c>
      <c r="G260" s="78" t="n">
        <f aca="false">F260*$D$6</f>
        <v>0</v>
      </c>
      <c r="H260" s="79" t="n">
        <f aca="false">((E260*$D$3)-G260)-C260+D260</f>
        <v>3.78399999999999</v>
      </c>
    </row>
    <row r="261" customFormat="false" ht="15" hidden="false" customHeight="false" outlineLevel="0" collapsed="false">
      <c r="B261" s="77" t="n">
        <v>244</v>
      </c>
      <c r="C261" s="78" t="n">
        <f aca="false">IF($D$11-B261&lt;0,0,$D$12)</f>
        <v>0</v>
      </c>
      <c r="D261" s="78" t="n">
        <f aca="false">IF(H260&lt;=$D$5,0,H260)</f>
        <v>3.78399999999999</v>
      </c>
      <c r="E261" s="78" t="n">
        <f aca="false">ABS(IF(C261=0,0,IF(D261&gt;C261,0,ROUNDUP(((C261-$D$6-D261)/$D$4),0))))</f>
        <v>0</v>
      </c>
      <c r="F261" s="78" t="n">
        <f aca="false">IF(AND(D261=0,E261=0),E261,IF(D261=0,E261-1,E261))</f>
        <v>0</v>
      </c>
      <c r="G261" s="78" t="n">
        <f aca="false">F261*$D$6</f>
        <v>0</v>
      </c>
      <c r="H261" s="79" t="n">
        <f aca="false">((E261*$D$3)-G261)-C261+D261</f>
        <v>3.78399999999999</v>
      </c>
    </row>
    <row r="262" customFormat="false" ht="15" hidden="false" customHeight="false" outlineLevel="0" collapsed="false">
      <c r="B262" s="77" t="n">
        <v>245</v>
      </c>
      <c r="C262" s="78" t="n">
        <f aca="false">IF($D$11-B262&lt;0,0,$D$12)</f>
        <v>0</v>
      </c>
      <c r="D262" s="78" t="n">
        <f aca="false">IF(H261&lt;=$D$5,0,H261)</f>
        <v>3.78399999999999</v>
      </c>
      <c r="E262" s="78" t="n">
        <f aca="false">ABS(IF(C262=0,0,IF(D262&gt;C262,0,ROUNDUP(((C262-$D$6-D262)/$D$4),0))))</f>
        <v>0</v>
      </c>
      <c r="F262" s="78" t="n">
        <f aca="false">IF(AND(D262=0,E262=0),E262,IF(D262=0,E262-1,E262))</f>
        <v>0</v>
      </c>
      <c r="G262" s="78" t="n">
        <f aca="false">F262*$D$6</f>
        <v>0</v>
      </c>
      <c r="H262" s="79" t="n">
        <f aca="false">((E262*$D$3)-G262)-C262+D262</f>
        <v>3.78399999999999</v>
      </c>
    </row>
    <row r="263" customFormat="false" ht="15" hidden="false" customHeight="false" outlineLevel="0" collapsed="false">
      <c r="B263" s="77" t="n">
        <v>246</v>
      </c>
      <c r="C263" s="78" t="n">
        <f aca="false">IF($D$11-B263&lt;0,0,$D$12)</f>
        <v>0</v>
      </c>
      <c r="D263" s="78" t="n">
        <f aca="false">IF(H262&lt;=$D$5,0,H262)</f>
        <v>3.78399999999999</v>
      </c>
      <c r="E263" s="78" t="n">
        <f aca="false">ABS(IF(C263=0,0,IF(D263&gt;C263,0,ROUNDUP(((C263-$D$6-D263)/$D$4),0))))</f>
        <v>0</v>
      </c>
      <c r="F263" s="78" t="n">
        <f aca="false">IF(AND(D263=0,E263=0),E263,IF(D263=0,E263-1,E263))</f>
        <v>0</v>
      </c>
      <c r="G263" s="78" t="n">
        <f aca="false">F263*$D$6</f>
        <v>0</v>
      </c>
      <c r="H263" s="79" t="n">
        <f aca="false">((E263*$D$3)-G263)-C263+D263</f>
        <v>3.78399999999999</v>
      </c>
    </row>
    <row r="264" customFormat="false" ht="15" hidden="false" customHeight="false" outlineLevel="0" collapsed="false">
      <c r="B264" s="77" t="n">
        <v>247</v>
      </c>
      <c r="C264" s="78" t="n">
        <f aca="false">IF($D$11-B264&lt;0,0,$D$12)</f>
        <v>0</v>
      </c>
      <c r="D264" s="78" t="n">
        <f aca="false">IF(H263&lt;=$D$5,0,H263)</f>
        <v>3.78399999999999</v>
      </c>
      <c r="E264" s="78" t="n">
        <f aca="false">ABS(IF(C264=0,0,IF(D264&gt;C264,0,ROUNDUP(((C264-$D$6-D264)/$D$4),0))))</f>
        <v>0</v>
      </c>
      <c r="F264" s="78" t="n">
        <f aca="false">IF(AND(D264=0,E264=0),E264,IF(D264=0,E264-1,E264))</f>
        <v>0</v>
      </c>
      <c r="G264" s="78" t="n">
        <f aca="false">F264*$D$6</f>
        <v>0</v>
      </c>
      <c r="H264" s="79" t="n">
        <f aca="false">((E264*$D$3)-G264)-C264+D264</f>
        <v>3.78399999999999</v>
      </c>
    </row>
    <row r="265" customFormat="false" ht="15" hidden="false" customHeight="false" outlineLevel="0" collapsed="false">
      <c r="B265" s="77" t="n">
        <v>248</v>
      </c>
      <c r="C265" s="78" t="n">
        <f aca="false">IF($D$11-B265&lt;0,0,$D$12)</f>
        <v>0</v>
      </c>
      <c r="D265" s="78" t="n">
        <f aca="false">IF(H264&lt;=$D$5,0,H264)</f>
        <v>3.78399999999999</v>
      </c>
      <c r="E265" s="78" t="n">
        <f aca="false">ABS(IF(C265=0,0,IF(D265&gt;C265,0,ROUNDUP(((C265-$D$6-D265)/$D$4),0))))</f>
        <v>0</v>
      </c>
      <c r="F265" s="78" t="n">
        <f aca="false">IF(AND(D265=0,E265=0),E265,IF(D265=0,E265-1,E265))</f>
        <v>0</v>
      </c>
      <c r="G265" s="78" t="n">
        <f aca="false">F265*$D$6</f>
        <v>0</v>
      </c>
      <c r="H265" s="79" t="n">
        <f aca="false">((E265*$D$3)-G265)-C265+D265</f>
        <v>3.78399999999999</v>
      </c>
    </row>
    <row r="266" customFormat="false" ht="15" hidden="false" customHeight="false" outlineLevel="0" collapsed="false">
      <c r="B266" s="77" t="n">
        <v>249</v>
      </c>
      <c r="C266" s="78" t="n">
        <f aca="false">IF($D$11-B266&lt;0,0,$D$12)</f>
        <v>0</v>
      </c>
      <c r="D266" s="78" t="n">
        <f aca="false">IF(H265&lt;=$D$5,0,H265)</f>
        <v>3.78399999999999</v>
      </c>
      <c r="E266" s="78" t="n">
        <f aca="false">ABS(IF(C266=0,0,IF(D266&gt;C266,0,ROUNDUP(((C266-$D$6-D266)/$D$4),0))))</f>
        <v>0</v>
      </c>
      <c r="F266" s="78" t="n">
        <f aca="false">IF(AND(D266=0,E266=0),E266,IF(D266=0,E266-1,E266))</f>
        <v>0</v>
      </c>
      <c r="G266" s="78" t="n">
        <f aca="false">F266*$D$6</f>
        <v>0</v>
      </c>
      <c r="H266" s="79" t="n">
        <f aca="false">((E266*$D$3)-G266)-C266+D266</f>
        <v>3.78399999999999</v>
      </c>
    </row>
    <row r="267" customFormat="false" ht="15" hidden="false" customHeight="false" outlineLevel="0" collapsed="false">
      <c r="B267" s="77" t="n">
        <v>250</v>
      </c>
      <c r="C267" s="78" t="n">
        <f aca="false">IF($D$11-B267&lt;0,0,$D$12)</f>
        <v>0</v>
      </c>
      <c r="D267" s="78" t="n">
        <f aca="false">IF(H266&lt;=$D$5,0,H266)</f>
        <v>3.78399999999999</v>
      </c>
      <c r="E267" s="78" t="n">
        <f aca="false">ABS(IF(C267=0,0,IF(D267&gt;C267,0,ROUNDUP(((C267-$D$6-D267)/$D$4),0))))</f>
        <v>0</v>
      </c>
      <c r="F267" s="78" t="n">
        <f aca="false">IF(AND(D267=0,E267=0),E267,IF(D267=0,E267-1,E267))</f>
        <v>0</v>
      </c>
      <c r="G267" s="78" t="n">
        <f aca="false">F267*$D$6</f>
        <v>0</v>
      </c>
      <c r="H267" s="79" t="n">
        <f aca="false">((E267*$D$3)-G267)-C267+D267</f>
        <v>3.78399999999999</v>
      </c>
    </row>
    <row r="268" customFormat="false" ht="15" hidden="false" customHeight="false" outlineLevel="0" collapsed="false">
      <c r="B268" s="77" t="n">
        <v>251</v>
      </c>
      <c r="C268" s="78" t="n">
        <f aca="false">IF($D$11-B268&lt;0,0,$D$12)</f>
        <v>0</v>
      </c>
      <c r="D268" s="78" t="n">
        <f aca="false">IF(H267&lt;=$D$5,0,H267)</f>
        <v>3.78399999999999</v>
      </c>
      <c r="E268" s="78" t="n">
        <f aca="false">ABS(IF(C268=0,0,IF(D268&gt;C268,0,ROUNDUP(((C268-$D$6-D268)/$D$4),0))))</f>
        <v>0</v>
      </c>
      <c r="F268" s="78" t="n">
        <f aca="false">IF(AND(D268=0,E268=0),E268,IF(D268=0,E268-1,E268))</f>
        <v>0</v>
      </c>
      <c r="G268" s="78" t="n">
        <f aca="false">F268*$D$6</f>
        <v>0</v>
      </c>
      <c r="H268" s="79" t="n">
        <f aca="false">((E268*$D$3)-G268)-C268+D268</f>
        <v>3.78399999999999</v>
      </c>
    </row>
    <row r="269" customFormat="false" ht="15" hidden="false" customHeight="false" outlineLevel="0" collapsed="false">
      <c r="B269" s="77" t="n">
        <v>252</v>
      </c>
      <c r="C269" s="78" t="n">
        <f aca="false">IF($D$11-B269&lt;0,0,$D$12)</f>
        <v>0</v>
      </c>
      <c r="D269" s="78" t="n">
        <f aca="false">IF(H268&lt;=$D$5,0,H268)</f>
        <v>3.78399999999999</v>
      </c>
      <c r="E269" s="78" t="n">
        <f aca="false">ABS(IF(C269=0,0,IF(D269&gt;C269,0,ROUNDUP(((C269-$D$6-D269)/$D$4),0))))</f>
        <v>0</v>
      </c>
      <c r="F269" s="78" t="n">
        <f aca="false">IF(AND(D269=0,E269=0),E269,IF(D269=0,E269-1,E269))</f>
        <v>0</v>
      </c>
      <c r="G269" s="78" t="n">
        <f aca="false">F269*$D$6</f>
        <v>0</v>
      </c>
      <c r="H269" s="79" t="n">
        <f aca="false">((E269*$D$3)-G269)-C269+D269</f>
        <v>3.78399999999999</v>
      </c>
    </row>
    <row r="270" customFormat="false" ht="15" hidden="false" customHeight="false" outlineLevel="0" collapsed="false">
      <c r="B270" s="77" t="n">
        <v>253</v>
      </c>
      <c r="C270" s="78" t="n">
        <f aca="false">IF($D$11-B270&lt;0,0,$D$12)</f>
        <v>0</v>
      </c>
      <c r="D270" s="78" t="n">
        <f aca="false">IF(H269&lt;=$D$5,0,H269)</f>
        <v>3.78399999999999</v>
      </c>
      <c r="E270" s="78" t="n">
        <f aca="false">ABS(IF(C270=0,0,IF(D270&gt;C270,0,ROUNDUP(((C270-$D$6-D270)/$D$4),0))))</f>
        <v>0</v>
      </c>
      <c r="F270" s="78" t="n">
        <f aca="false">IF(AND(D270=0,E270=0),E270,IF(D270=0,E270-1,E270))</f>
        <v>0</v>
      </c>
      <c r="G270" s="78" t="n">
        <f aca="false">F270*$D$6</f>
        <v>0</v>
      </c>
      <c r="H270" s="79" t="n">
        <f aca="false">((E270*$D$3)-G270)-C270+D270</f>
        <v>3.78399999999999</v>
      </c>
    </row>
    <row r="271" customFormat="false" ht="15" hidden="false" customHeight="false" outlineLevel="0" collapsed="false">
      <c r="B271" s="77" t="n">
        <v>254</v>
      </c>
      <c r="C271" s="78" t="n">
        <f aca="false">IF($D$11-B271&lt;0,0,$D$12)</f>
        <v>0</v>
      </c>
      <c r="D271" s="78" t="n">
        <f aca="false">IF(H270&lt;=$D$5,0,H270)</f>
        <v>3.78399999999999</v>
      </c>
      <c r="E271" s="78" t="n">
        <f aca="false">ABS(IF(C271=0,0,IF(D271&gt;C271,0,ROUNDUP(((C271-$D$6-D271)/$D$4),0))))</f>
        <v>0</v>
      </c>
      <c r="F271" s="78" t="n">
        <f aca="false">IF(AND(D271=0,E271=0),E271,IF(D271=0,E271-1,E271))</f>
        <v>0</v>
      </c>
      <c r="G271" s="78" t="n">
        <f aca="false">F271*$D$6</f>
        <v>0</v>
      </c>
      <c r="H271" s="79" t="n">
        <f aca="false">((E271*$D$3)-G271)-C271+D271</f>
        <v>3.78399999999999</v>
      </c>
    </row>
    <row r="272" customFormat="false" ht="15" hidden="false" customHeight="false" outlineLevel="0" collapsed="false">
      <c r="B272" s="77" t="n">
        <v>255</v>
      </c>
      <c r="C272" s="78" t="n">
        <f aca="false">IF($D$11-B272&lt;0,0,$D$12)</f>
        <v>0</v>
      </c>
      <c r="D272" s="78" t="n">
        <f aca="false">IF(H271&lt;=$D$5,0,H271)</f>
        <v>3.78399999999999</v>
      </c>
      <c r="E272" s="78" t="n">
        <f aca="false">ABS(IF(C272=0,0,IF(D272&gt;C272,0,ROUNDUP(((C272-$D$6-D272)/$D$4),0))))</f>
        <v>0</v>
      </c>
      <c r="F272" s="78" t="n">
        <f aca="false">IF(AND(D272=0,E272=0),E272,IF(D272=0,E272-1,E272))</f>
        <v>0</v>
      </c>
      <c r="G272" s="78" t="n">
        <f aca="false">F272*$D$6</f>
        <v>0</v>
      </c>
      <c r="H272" s="79" t="n">
        <f aca="false">((E272*$D$3)-G272)-C272+D272</f>
        <v>3.78399999999999</v>
      </c>
    </row>
    <row r="273" customFormat="false" ht="15" hidden="false" customHeight="false" outlineLevel="0" collapsed="false">
      <c r="B273" s="77" t="n">
        <v>256</v>
      </c>
      <c r="C273" s="78" t="n">
        <f aca="false">IF($D$11-B273&lt;0,0,$D$12)</f>
        <v>0</v>
      </c>
      <c r="D273" s="78" t="n">
        <f aca="false">IF(H272&lt;=$D$5,0,H272)</f>
        <v>3.78399999999999</v>
      </c>
      <c r="E273" s="78" t="n">
        <f aca="false">ABS(IF(C273=0,0,IF(D273&gt;C273,0,ROUNDUP(((C273-$D$6-D273)/$D$4),0))))</f>
        <v>0</v>
      </c>
      <c r="F273" s="78" t="n">
        <f aca="false">IF(AND(D273=0,E273=0),E273,IF(D273=0,E273-1,E273))</f>
        <v>0</v>
      </c>
      <c r="G273" s="78" t="n">
        <f aca="false">F273*$D$6</f>
        <v>0</v>
      </c>
      <c r="H273" s="79" t="n">
        <f aca="false">((E273*$D$3)-G273)-C273+D273</f>
        <v>3.78399999999999</v>
      </c>
    </row>
    <row r="274" customFormat="false" ht="15" hidden="false" customHeight="false" outlineLevel="0" collapsed="false">
      <c r="B274" s="77" t="n">
        <v>257</v>
      </c>
      <c r="C274" s="78" t="n">
        <f aca="false">IF($D$11-B274&lt;0,0,$D$12)</f>
        <v>0</v>
      </c>
      <c r="D274" s="78" t="n">
        <f aca="false">IF(H273&lt;=$D$5,0,H273)</f>
        <v>3.78399999999999</v>
      </c>
      <c r="E274" s="78" t="n">
        <f aca="false">ABS(IF(C274=0,0,IF(D274&gt;C274,0,ROUNDUP(((C274-$D$6-D274)/$D$4),0))))</f>
        <v>0</v>
      </c>
      <c r="F274" s="78" t="n">
        <f aca="false">IF(AND(D274=0,E274=0),E274,IF(D274=0,E274-1,E274))</f>
        <v>0</v>
      </c>
      <c r="G274" s="78" t="n">
        <f aca="false">F274*$D$6</f>
        <v>0</v>
      </c>
      <c r="H274" s="79" t="n">
        <f aca="false">((E274*$D$3)-G274)-C274+D274</f>
        <v>3.78399999999999</v>
      </c>
    </row>
    <row r="275" customFormat="false" ht="15" hidden="false" customHeight="false" outlineLevel="0" collapsed="false">
      <c r="B275" s="77" t="n">
        <v>258</v>
      </c>
      <c r="C275" s="78" t="n">
        <f aca="false">IF($D$11-B275&lt;0,0,$D$12)</f>
        <v>0</v>
      </c>
      <c r="D275" s="78" t="n">
        <f aca="false">IF(H274&lt;=$D$5,0,H274)</f>
        <v>3.78399999999999</v>
      </c>
      <c r="E275" s="78" t="n">
        <f aca="false">ABS(IF(C275=0,0,IF(D275&gt;C275,0,ROUNDUP(((C275-$D$6-D275)/$D$4),0))))</f>
        <v>0</v>
      </c>
      <c r="F275" s="78" t="n">
        <f aca="false">IF(AND(D275=0,E275=0),E275,IF(D275=0,E275-1,E275))</f>
        <v>0</v>
      </c>
      <c r="G275" s="78" t="n">
        <f aca="false">F275*$D$6</f>
        <v>0</v>
      </c>
      <c r="H275" s="79" t="n">
        <f aca="false">((E275*$D$3)-G275)-C275+D275</f>
        <v>3.78399999999999</v>
      </c>
    </row>
    <row r="276" customFormat="false" ht="15" hidden="false" customHeight="false" outlineLevel="0" collapsed="false">
      <c r="B276" s="77" t="n">
        <v>259</v>
      </c>
      <c r="C276" s="78" t="n">
        <f aca="false">IF($D$11-B276&lt;0,0,$D$12)</f>
        <v>0</v>
      </c>
      <c r="D276" s="78" t="n">
        <f aca="false">IF(H275&lt;=$D$5,0,H275)</f>
        <v>3.78399999999999</v>
      </c>
      <c r="E276" s="78" t="n">
        <f aca="false">ABS(IF(C276=0,0,IF(D276&gt;C276,0,ROUNDUP(((C276-$D$6-D276)/$D$4),0))))</f>
        <v>0</v>
      </c>
      <c r="F276" s="78" t="n">
        <f aca="false">IF(AND(D276=0,E276=0),E276,IF(D276=0,E276-1,E276))</f>
        <v>0</v>
      </c>
      <c r="G276" s="78" t="n">
        <f aca="false">F276*$D$6</f>
        <v>0</v>
      </c>
      <c r="H276" s="79" t="n">
        <f aca="false">((E276*$D$3)-G276)-C276+D276</f>
        <v>3.78399999999999</v>
      </c>
    </row>
    <row r="277" customFormat="false" ht="15" hidden="false" customHeight="false" outlineLevel="0" collapsed="false">
      <c r="B277" s="77" t="n">
        <v>260</v>
      </c>
      <c r="C277" s="78" t="n">
        <f aca="false">IF($D$11-B277&lt;0,0,$D$12)</f>
        <v>0</v>
      </c>
      <c r="D277" s="78" t="n">
        <f aca="false">IF(H276&lt;=$D$5,0,H276)</f>
        <v>3.78399999999999</v>
      </c>
      <c r="E277" s="78" t="n">
        <f aca="false">ABS(IF(C277=0,0,IF(D277&gt;C277,0,ROUNDUP(((C277-$D$6-D277)/$D$4),0))))</f>
        <v>0</v>
      </c>
      <c r="F277" s="78" t="n">
        <f aca="false">IF(AND(D277=0,E277=0),E277,IF(D277=0,E277-1,E277))</f>
        <v>0</v>
      </c>
      <c r="G277" s="78" t="n">
        <f aca="false">F277*$D$6</f>
        <v>0</v>
      </c>
      <c r="H277" s="79" t="n">
        <f aca="false">((E277*$D$3)-G277)-C277+D277</f>
        <v>3.78399999999999</v>
      </c>
    </row>
    <row r="278" customFormat="false" ht="15" hidden="false" customHeight="false" outlineLevel="0" collapsed="false">
      <c r="B278" s="77" t="n">
        <v>261</v>
      </c>
      <c r="C278" s="78" t="n">
        <f aca="false">IF($D$11-B278&lt;0,0,$D$12)</f>
        <v>0</v>
      </c>
      <c r="D278" s="78" t="n">
        <f aca="false">IF(H277&lt;=$D$5,0,H277)</f>
        <v>3.78399999999999</v>
      </c>
      <c r="E278" s="78" t="n">
        <f aca="false">ABS(IF(C278=0,0,IF(D278&gt;C278,0,ROUNDUP(((C278-$D$6-D278)/$D$4),0))))</f>
        <v>0</v>
      </c>
      <c r="F278" s="78" t="n">
        <f aca="false">IF(AND(D278=0,E278=0),E278,IF(D278=0,E278-1,E278))</f>
        <v>0</v>
      </c>
      <c r="G278" s="78" t="n">
        <f aca="false">F278*$D$6</f>
        <v>0</v>
      </c>
      <c r="H278" s="79" t="n">
        <f aca="false">((E278*$D$3)-G278)-C278+D278</f>
        <v>3.78399999999999</v>
      </c>
    </row>
    <row r="279" customFormat="false" ht="15" hidden="false" customHeight="false" outlineLevel="0" collapsed="false">
      <c r="B279" s="77" t="n">
        <v>262</v>
      </c>
      <c r="C279" s="78" t="n">
        <f aca="false">IF($D$11-B279&lt;0,0,$D$12)</f>
        <v>0</v>
      </c>
      <c r="D279" s="78" t="n">
        <f aca="false">IF(H278&lt;=$D$5,0,H278)</f>
        <v>3.78399999999999</v>
      </c>
      <c r="E279" s="78" t="n">
        <f aca="false">ABS(IF(C279=0,0,IF(D279&gt;C279,0,ROUNDUP(((C279-$D$6-D279)/$D$4),0))))</f>
        <v>0</v>
      </c>
      <c r="F279" s="78" t="n">
        <f aca="false">IF(AND(D279=0,E279=0),E279,IF(D279=0,E279-1,E279))</f>
        <v>0</v>
      </c>
      <c r="G279" s="78" t="n">
        <f aca="false">F279*$D$6</f>
        <v>0</v>
      </c>
      <c r="H279" s="79" t="n">
        <f aca="false">((E279*$D$3)-G279)-C279+D279</f>
        <v>3.78399999999999</v>
      </c>
    </row>
    <row r="280" customFormat="false" ht="15" hidden="false" customHeight="false" outlineLevel="0" collapsed="false">
      <c r="B280" s="77" t="n">
        <v>263</v>
      </c>
      <c r="C280" s="78" t="n">
        <f aca="false">IF($D$11-B280&lt;0,0,$D$12)</f>
        <v>0</v>
      </c>
      <c r="D280" s="78" t="n">
        <f aca="false">IF(H279&lt;=$D$5,0,H279)</f>
        <v>3.78399999999999</v>
      </c>
      <c r="E280" s="78" t="n">
        <f aca="false">ABS(IF(C280=0,0,IF(D280&gt;C280,0,ROUNDUP(((C280-$D$6-D280)/$D$4),0))))</f>
        <v>0</v>
      </c>
      <c r="F280" s="78" t="n">
        <f aca="false">IF(AND(D280=0,E280=0),E280,IF(D280=0,E280-1,E280))</f>
        <v>0</v>
      </c>
      <c r="G280" s="78" t="n">
        <f aca="false">F280*$D$6</f>
        <v>0</v>
      </c>
      <c r="H280" s="79" t="n">
        <f aca="false">((E280*$D$3)-G280)-C280+D280</f>
        <v>3.78399999999999</v>
      </c>
    </row>
    <row r="281" customFormat="false" ht="15" hidden="false" customHeight="false" outlineLevel="0" collapsed="false">
      <c r="B281" s="77" t="n">
        <v>264</v>
      </c>
      <c r="C281" s="78" t="n">
        <f aca="false">IF($D$11-B281&lt;0,0,$D$12)</f>
        <v>0</v>
      </c>
      <c r="D281" s="78" t="n">
        <f aca="false">IF(H280&lt;=$D$5,0,H280)</f>
        <v>3.78399999999999</v>
      </c>
      <c r="E281" s="78" t="n">
        <f aca="false">ABS(IF(C281=0,0,IF(D281&gt;C281,0,ROUNDUP(((C281-$D$6-D281)/$D$4),0))))</f>
        <v>0</v>
      </c>
      <c r="F281" s="78" t="n">
        <f aca="false">IF(AND(D281=0,E281=0),E281,IF(D281=0,E281-1,E281))</f>
        <v>0</v>
      </c>
      <c r="G281" s="78" t="n">
        <f aca="false">F281*$D$6</f>
        <v>0</v>
      </c>
      <c r="H281" s="79" t="n">
        <f aca="false">((E281*$D$3)-G281)-C281+D281</f>
        <v>3.78399999999999</v>
      </c>
    </row>
    <row r="282" customFormat="false" ht="15" hidden="false" customHeight="false" outlineLevel="0" collapsed="false">
      <c r="B282" s="77" t="n">
        <v>265</v>
      </c>
      <c r="C282" s="78" t="n">
        <f aca="false">IF($D$11-B282&lt;0,0,$D$12)</f>
        <v>0</v>
      </c>
      <c r="D282" s="78" t="n">
        <f aca="false">IF(H281&lt;=$D$5,0,H281)</f>
        <v>3.78399999999999</v>
      </c>
      <c r="E282" s="78" t="n">
        <f aca="false">ABS(IF(C282=0,0,IF(D282&gt;C282,0,ROUNDUP(((C282-$D$6-D282)/$D$4),0))))</f>
        <v>0</v>
      </c>
      <c r="F282" s="78" t="n">
        <f aca="false">IF(AND(D282=0,E282=0),E282,IF(D282=0,E282-1,E282))</f>
        <v>0</v>
      </c>
      <c r="G282" s="78" t="n">
        <f aca="false">F282*$D$6</f>
        <v>0</v>
      </c>
      <c r="H282" s="79" t="n">
        <f aca="false">((E282*$D$3)-G282)-C282+D282</f>
        <v>3.78399999999999</v>
      </c>
    </row>
    <row r="283" customFormat="false" ht="15" hidden="false" customHeight="false" outlineLevel="0" collapsed="false">
      <c r="B283" s="77" t="n">
        <v>266</v>
      </c>
      <c r="C283" s="78" t="n">
        <f aca="false">IF($D$11-B283&lt;0,0,$D$12)</f>
        <v>0</v>
      </c>
      <c r="D283" s="78" t="n">
        <f aca="false">IF(H282&lt;=$D$5,0,H282)</f>
        <v>3.78399999999999</v>
      </c>
      <c r="E283" s="78" t="n">
        <f aca="false">ABS(IF(C283=0,0,IF(D283&gt;C283,0,ROUNDUP(((C283-$D$6-D283)/$D$4),0))))</f>
        <v>0</v>
      </c>
      <c r="F283" s="78" t="n">
        <f aca="false">IF(AND(D283=0,E283=0),E283,IF(D283=0,E283-1,E283))</f>
        <v>0</v>
      </c>
      <c r="G283" s="78" t="n">
        <f aca="false">F283*$D$6</f>
        <v>0</v>
      </c>
      <c r="H283" s="79" t="n">
        <f aca="false">((E283*$D$3)-G283)-C283+D283</f>
        <v>3.78399999999999</v>
      </c>
    </row>
    <row r="284" customFormat="false" ht="15" hidden="false" customHeight="false" outlineLevel="0" collapsed="false">
      <c r="B284" s="77" t="n">
        <v>267</v>
      </c>
      <c r="C284" s="78" t="n">
        <f aca="false">IF($D$11-B284&lt;0,0,$D$12)</f>
        <v>0</v>
      </c>
      <c r="D284" s="78" t="n">
        <f aca="false">IF(H283&lt;=$D$5,0,H283)</f>
        <v>3.78399999999999</v>
      </c>
      <c r="E284" s="78" t="n">
        <f aca="false">ABS(IF(C284=0,0,IF(D284&gt;C284,0,ROUNDUP(((C284-$D$6-D284)/$D$4),0))))</f>
        <v>0</v>
      </c>
      <c r="F284" s="78" t="n">
        <f aca="false">IF(AND(D284=0,E284=0),E284,IF(D284=0,E284-1,E284))</f>
        <v>0</v>
      </c>
      <c r="G284" s="78" t="n">
        <f aca="false">F284*$D$6</f>
        <v>0</v>
      </c>
      <c r="H284" s="79" t="n">
        <f aca="false">((E284*$D$3)-G284)-C284+D284</f>
        <v>3.78399999999999</v>
      </c>
    </row>
    <row r="285" customFormat="false" ht="15" hidden="false" customHeight="false" outlineLevel="0" collapsed="false">
      <c r="B285" s="77" t="n">
        <v>268</v>
      </c>
      <c r="C285" s="78" t="n">
        <f aca="false">IF($D$11-B285&lt;0,0,$D$12)</f>
        <v>0</v>
      </c>
      <c r="D285" s="78" t="n">
        <f aca="false">IF(H284&lt;=$D$5,0,H284)</f>
        <v>3.78399999999999</v>
      </c>
      <c r="E285" s="78" t="n">
        <f aca="false">ABS(IF(C285=0,0,IF(D285&gt;C285,0,ROUNDUP(((C285-$D$6-D285)/$D$4),0))))</f>
        <v>0</v>
      </c>
      <c r="F285" s="78" t="n">
        <f aca="false">IF(AND(D285=0,E285=0),E285,IF(D285=0,E285-1,E285))</f>
        <v>0</v>
      </c>
      <c r="G285" s="78" t="n">
        <f aca="false">F285*$D$6</f>
        <v>0</v>
      </c>
      <c r="H285" s="79" t="n">
        <f aca="false">((E285*$D$3)-G285)-C285+D285</f>
        <v>3.78399999999999</v>
      </c>
    </row>
    <row r="286" customFormat="false" ht="15" hidden="false" customHeight="false" outlineLevel="0" collapsed="false">
      <c r="B286" s="77" t="n">
        <v>269</v>
      </c>
      <c r="C286" s="78" t="n">
        <f aca="false">IF($D$11-B286&lt;0,0,$D$12)</f>
        <v>0</v>
      </c>
      <c r="D286" s="78" t="n">
        <f aca="false">IF(H285&lt;=$D$5,0,H285)</f>
        <v>3.78399999999999</v>
      </c>
      <c r="E286" s="78" t="n">
        <f aca="false">ABS(IF(C286=0,0,IF(D286&gt;C286,0,ROUNDUP(((C286-$D$6-D286)/$D$4),0))))</f>
        <v>0</v>
      </c>
      <c r="F286" s="78" t="n">
        <f aca="false">IF(AND(D286=0,E286=0),E286,IF(D286=0,E286-1,E286))</f>
        <v>0</v>
      </c>
      <c r="G286" s="78" t="n">
        <f aca="false">F286*$D$6</f>
        <v>0</v>
      </c>
      <c r="H286" s="79" t="n">
        <f aca="false">((E286*$D$3)-G286)-C286+D286</f>
        <v>3.78399999999999</v>
      </c>
    </row>
    <row r="287" customFormat="false" ht="15" hidden="false" customHeight="false" outlineLevel="0" collapsed="false">
      <c r="B287" s="77" t="n">
        <v>270</v>
      </c>
      <c r="C287" s="78" t="n">
        <f aca="false">IF($D$11-B287&lt;0,0,$D$12)</f>
        <v>0</v>
      </c>
      <c r="D287" s="78" t="n">
        <f aca="false">IF(H286&lt;=$D$5,0,H286)</f>
        <v>3.78399999999999</v>
      </c>
      <c r="E287" s="78" t="n">
        <f aca="false">ABS(IF(C287=0,0,IF(D287&gt;C287,0,ROUNDUP(((C287-$D$6-D287)/$D$4),0))))</f>
        <v>0</v>
      </c>
      <c r="F287" s="78" t="n">
        <f aca="false">IF(AND(D287=0,E287=0),E287,IF(D287=0,E287-1,E287))</f>
        <v>0</v>
      </c>
      <c r="G287" s="78" t="n">
        <f aca="false">F287*$D$6</f>
        <v>0</v>
      </c>
      <c r="H287" s="79" t="n">
        <f aca="false">((E287*$D$3)-G287)-C287+D287</f>
        <v>3.78399999999999</v>
      </c>
    </row>
    <row r="288" customFormat="false" ht="15" hidden="false" customHeight="false" outlineLevel="0" collapsed="false">
      <c r="B288" s="77" t="n">
        <v>271</v>
      </c>
      <c r="C288" s="78" t="n">
        <f aca="false">IF($D$11-B288&lt;0,0,$D$12)</f>
        <v>0</v>
      </c>
      <c r="D288" s="78" t="n">
        <f aca="false">IF(H287&lt;=$D$5,0,H287)</f>
        <v>3.78399999999999</v>
      </c>
      <c r="E288" s="78" t="n">
        <f aca="false">ABS(IF(C288=0,0,IF(D288&gt;C288,0,ROUNDUP(((C288-$D$6-D288)/$D$4),0))))</f>
        <v>0</v>
      </c>
      <c r="F288" s="78" t="n">
        <f aca="false">IF(AND(D288=0,E288=0),E288,IF(D288=0,E288-1,E288))</f>
        <v>0</v>
      </c>
      <c r="G288" s="78" t="n">
        <f aca="false">F288*$D$6</f>
        <v>0</v>
      </c>
      <c r="H288" s="79" t="n">
        <f aca="false">((E288*$D$3)-G288)-C288+D288</f>
        <v>3.78399999999999</v>
      </c>
    </row>
    <row r="289" customFormat="false" ht="15" hidden="false" customHeight="false" outlineLevel="0" collapsed="false">
      <c r="B289" s="77" t="n">
        <v>272</v>
      </c>
      <c r="C289" s="78" t="n">
        <f aca="false">IF($D$11-B289&lt;0,0,$D$12)</f>
        <v>0</v>
      </c>
      <c r="D289" s="78" t="n">
        <f aca="false">IF(H288&lt;=$D$5,0,H288)</f>
        <v>3.78399999999999</v>
      </c>
      <c r="E289" s="78" t="n">
        <f aca="false">ABS(IF(C289=0,0,IF(D289&gt;C289,0,ROUNDUP(((C289-$D$6-D289)/$D$4),0))))</f>
        <v>0</v>
      </c>
      <c r="F289" s="78" t="n">
        <f aca="false">IF(AND(D289=0,E289=0),E289,IF(D289=0,E289-1,E289))</f>
        <v>0</v>
      </c>
      <c r="G289" s="78" t="n">
        <f aca="false">F289*$D$6</f>
        <v>0</v>
      </c>
      <c r="H289" s="79" t="n">
        <f aca="false">((E289*$D$3)-G289)-C289+D289</f>
        <v>3.78399999999999</v>
      </c>
    </row>
    <row r="290" customFormat="false" ht="15" hidden="false" customHeight="false" outlineLevel="0" collapsed="false">
      <c r="B290" s="77" t="n">
        <v>273</v>
      </c>
      <c r="C290" s="78" t="n">
        <f aca="false">IF($D$11-B290&lt;0,0,$D$12)</f>
        <v>0</v>
      </c>
      <c r="D290" s="78" t="n">
        <f aca="false">IF(H289&lt;=$D$5,0,H289)</f>
        <v>3.78399999999999</v>
      </c>
      <c r="E290" s="78" t="n">
        <f aca="false">ABS(IF(C290=0,0,IF(D290&gt;C290,0,ROUNDUP(((C290-$D$6-D290)/$D$4),0))))</f>
        <v>0</v>
      </c>
      <c r="F290" s="78" t="n">
        <f aca="false">IF(AND(D290=0,E290=0),E290,IF(D290=0,E290-1,E290))</f>
        <v>0</v>
      </c>
      <c r="G290" s="78" t="n">
        <f aca="false">F290*$D$6</f>
        <v>0</v>
      </c>
      <c r="H290" s="79" t="n">
        <f aca="false">((E290*$D$3)-G290)-C290+D290</f>
        <v>3.78399999999999</v>
      </c>
    </row>
    <row r="291" customFormat="false" ht="15" hidden="false" customHeight="false" outlineLevel="0" collapsed="false">
      <c r="B291" s="77" t="n">
        <v>274</v>
      </c>
      <c r="C291" s="78" t="n">
        <f aca="false">IF($D$11-B291&lt;0,0,$D$12)</f>
        <v>0</v>
      </c>
      <c r="D291" s="78" t="n">
        <f aca="false">IF(H290&lt;=$D$5,0,H290)</f>
        <v>3.78399999999999</v>
      </c>
      <c r="E291" s="78" t="n">
        <f aca="false">ABS(IF(C291=0,0,IF(D291&gt;C291,0,ROUNDUP(((C291-$D$6-D291)/$D$4),0))))</f>
        <v>0</v>
      </c>
      <c r="F291" s="78" t="n">
        <f aca="false">IF(AND(D291=0,E291=0),E291,IF(D291=0,E291-1,E291))</f>
        <v>0</v>
      </c>
      <c r="G291" s="78" t="n">
        <f aca="false">F291*$D$6</f>
        <v>0</v>
      </c>
      <c r="H291" s="79" t="n">
        <f aca="false">((E291*$D$3)-G291)-C291+D291</f>
        <v>3.78399999999999</v>
      </c>
    </row>
    <row r="292" customFormat="false" ht="15" hidden="false" customHeight="false" outlineLevel="0" collapsed="false">
      <c r="B292" s="77" t="n">
        <v>275</v>
      </c>
      <c r="C292" s="78" t="n">
        <f aca="false">IF($D$11-B292&lt;0,0,$D$12)</f>
        <v>0</v>
      </c>
      <c r="D292" s="78" t="n">
        <f aca="false">IF(H291&lt;=$D$5,0,H291)</f>
        <v>3.78399999999999</v>
      </c>
      <c r="E292" s="78" t="n">
        <f aca="false">ABS(IF(C292=0,0,IF(D292&gt;C292,0,ROUNDUP(((C292-$D$6-D292)/$D$4),0))))</f>
        <v>0</v>
      </c>
      <c r="F292" s="78" t="n">
        <f aca="false">IF(AND(D292=0,E292=0),E292,IF(D292=0,E292-1,E292))</f>
        <v>0</v>
      </c>
      <c r="G292" s="78" t="n">
        <f aca="false">F292*$D$6</f>
        <v>0</v>
      </c>
      <c r="H292" s="79" t="n">
        <f aca="false">((E292*$D$3)-G292)-C292+D292</f>
        <v>3.78399999999999</v>
      </c>
    </row>
    <row r="293" customFormat="false" ht="15" hidden="false" customHeight="false" outlineLevel="0" collapsed="false">
      <c r="B293" s="77" t="n">
        <v>276</v>
      </c>
      <c r="C293" s="78" t="n">
        <f aca="false">IF($D$11-B293&lt;0,0,$D$12)</f>
        <v>0</v>
      </c>
      <c r="D293" s="78" t="n">
        <f aca="false">IF(H292&lt;=$D$5,0,H292)</f>
        <v>3.78399999999999</v>
      </c>
      <c r="E293" s="78" t="n">
        <f aca="false">ABS(IF(C293=0,0,IF(D293&gt;C293,0,ROUNDUP(((C293-$D$6-D293)/$D$4),0))))</f>
        <v>0</v>
      </c>
      <c r="F293" s="78" t="n">
        <f aca="false">IF(AND(D293=0,E293=0),E293,IF(D293=0,E293-1,E293))</f>
        <v>0</v>
      </c>
      <c r="G293" s="78" t="n">
        <f aca="false">F293*$D$6</f>
        <v>0</v>
      </c>
      <c r="H293" s="79" t="n">
        <f aca="false">((E293*$D$3)-G293)-C293+D293</f>
        <v>3.78399999999999</v>
      </c>
    </row>
    <row r="294" customFormat="false" ht="15" hidden="false" customHeight="false" outlineLevel="0" collapsed="false">
      <c r="B294" s="77" t="n">
        <v>277</v>
      </c>
      <c r="C294" s="78" t="n">
        <f aca="false">IF($D$11-B294&lt;0,0,$D$12)</f>
        <v>0</v>
      </c>
      <c r="D294" s="78" t="n">
        <f aca="false">IF(H293&lt;=$D$5,0,H293)</f>
        <v>3.78399999999999</v>
      </c>
      <c r="E294" s="78" t="n">
        <f aca="false">ABS(IF(C294=0,0,IF(D294&gt;C294,0,ROUNDUP(((C294-$D$6-D294)/$D$4),0))))</f>
        <v>0</v>
      </c>
      <c r="F294" s="78" t="n">
        <f aca="false">IF(AND(D294=0,E294=0),E294,IF(D294=0,E294-1,E294))</f>
        <v>0</v>
      </c>
      <c r="G294" s="78" t="n">
        <f aca="false">F294*$D$6</f>
        <v>0</v>
      </c>
      <c r="H294" s="79" t="n">
        <f aca="false">((E294*$D$3)-G294)-C294+D294</f>
        <v>3.78399999999999</v>
      </c>
    </row>
    <row r="295" customFormat="false" ht="15" hidden="false" customHeight="false" outlineLevel="0" collapsed="false">
      <c r="B295" s="77" t="n">
        <v>278</v>
      </c>
      <c r="C295" s="78" t="n">
        <f aca="false">IF($D$11-B295&lt;0,0,$D$12)</f>
        <v>0</v>
      </c>
      <c r="D295" s="78" t="n">
        <f aca="false">IF(H294&lt;=$D$5,0,H294)</f>
        <v>3.78399999999999</v>
      </c>
      <c r="E295" s="78" t="n">
        <f aca="false">ABS(IF(C295=0,0,IF(D295&gt;C295,0,ROUNDUP(((C295-$D$6-D295)/$D$4),0))))</f>
        <v>0</v>
      </c>
      <c r="F295" s="78" t="n">
        <f aca="false">IF(AND(D295=0,E295=0),E295,IF(D295=0,E295-1,E295))</f>
        <v>0</v>
      </c>
      <c r="G295" s="78" t="n">
        <f aca="false">F295*$D$6</f>
        <v>0</v>
      </c>
      <c r="H295" s="79" t="n">
        <f aca="false">((E295*$D$3)-G295)-C295+D295</f>
        <v>3.78399999999999</v>
      </c>
    </row>
    <row r="296" customFormat="false" ht="15" hidden="false" customHeight="false" outlineLevel="0" collapsed="false">
      <c r="B296" s="77" t="n">
        <v>279</v>
      </c>
      <c r="C296" s="78" t="n">
        <f aca="false">IF($D$11-B296&lt;0,0,$D$12)</f>
        <v>0</v>
      </c>
      <c r="D296" s="78" t="n">
        <f aca="false">IF(H295&lt;=$D$5,0,H295)</f>
        <v>3.78399999999999</v>
      </c>
      <c r="E296" s="78" t="n">
        <f aca="false">ABS(IF(C296=0,0,IF(D296&gt;C296,0,ROUNDUP(((C296-$D$6-D296)/$D$4),0))))</f>
        <v>0</v>
      </c>
      <c r="F296" s="78" t="n">
        <f aca="false">IF(AND(D296=0,E296=0),E296,IF(D296=0,E296-1,E296))</f>
        <v>0</v>
      </c>
      <c r="G296" s="78" t="n">
        <f aca="false">F296*$D$6</f>
        <v>0</v>
      </c>
      <c r="H296" s="79" t="n">
        <f aca="false">((E296*$D$3)-G296)-C296+D296</f>
        <v>3.78399999999999</v>
      </c>
    </row>
    <row r="297" customFormat="false" ht="15" hidden="false" customHeight="false" outlineLevel="0" collapsed="false">
      <c r="B297" s="77" t="n">
        <v>280</v>
      </c>
      <c r="C297" s="78" t="n">
        <f aca="false">IF($D$11-B297&lt;0,0,$D$12)</f>
        <v>0</v>
      </c>
      <c r="D297" s="78" t="n">
        <f aca="false">IF(H296&lt;=$D$5,0,H296)</f>
        <v>3.78399999999999</v>
      </c>
      <c r="E297" s="78" t="n">
        <f aca="false">ABS(IF(C297=0,0,IF(D297&gt;C297,0,ROUNDUP(((C297-$D$6-D297)/$D$4),0))))</f>
        <v>0</v>
      </c>
      <c r="F297" s="78" t="n">
        <f aca="false">IF(AND(D297=0,E297=0),E297,IF(D297=0,E297-1,E297))</f>
        <v>0</v>
      </c>
      <c r="G297" s="78" t="n">
        <f aca="false">F297*$D$6</f>
        <v>0</v>
      </c>
      <c r="H297" s="79" t="n">
        <f aca="false">((E297*$D$3)-G297)-C297+D297</f>
        <v>3.78399999999999</v>
      </c>
    </row>
    <row r="298" customFormat="false" ht="15" hidden="false" customHeight="false" outlineLevel="0" collapsed="false">
      <c r="B298" s="77" t="n">
        <v>281</v>
      </c>
      <c r="C298" s="78" t="n">
        <f aca="false">IF($D$11-B298&lt;0,0,$D$12)</f>
        <v>0</v>
      </c>
      <c r="D298" s="78" t="n">
        <f aca="false">IF(H297&lt;=$D$5,0,H297)</f>
        <v>3.78399999999999</v>
      </c>
      <c r="E298" s="78" t="n">
        <f aca="false">ABS(IF(C298=0,0,IF(D298&gt;C298,0,ROUNDUP(((C298-$D$6-D298)/$D$4),0))))</f>
        <v>0</v>
      </c>
      <c r="F298" s="78" t="n">
        <f aca="false">IF(AND(D298=0,E298=0),E298,IF(D298=0,E298-1,E298))</f>
        <v>0</v>
      </c>
      <c r="G298" s="78" t="n">
        <f aca="false">F298*$D$6</f>
        <v>0</v>
      </c>
      <c r="H298" s="79" t="n">
        <f aca="false">((E298*$D$3)-G298)-C298+D298</f>
        <v>3.78399999999999</v>
      </c>
    </row>
    <row r="299" customFormat="false" ht="15" hidden="false" customHeight="false" outlineLevel="0" collapsed="false">
      <c r="B299" s="77" t="n">
        <v>282</v>
      </c>
      <c r="C299" s="78" t="n">
        <f aca="false">IF($D$11-B299&lt;0,0,$D$12)</f>
        <v>0</v>
      </c>
      <c r="D299" s="78" t="n">
        <f aca="false">IF(H298&lt;=$D$5,0,H298)</f>
        <v>3.78399999999999</v>
      </c>
      <c r="E299" s="78" t="n">
        <f aca="false">ABS(IF(C299=0,0,IF(D299&gt;C299,0,ROUNDUP(((C299-$D$6-D299)/$D$4),0))))</f>
        <v>0</v>
      </c>
      <c r="F299" s="78" t="n">
        <f aca="false">IF(AND(D299=0,E299=0),E299,IF(D299=0,E299-1,E299))</f>
        <v>0</v>
      </c>
      <c r="G299" s="78" t="n">
        <f aca="false">F299*$D$6</f>
        <v>0</v>
      </c>
      <c r="H299" s="79" t="n">
        <f aca="false">((E299*$D$3)-G299)-C299+D299</f>
        <v>3.78399999999999</v>
      </c>
    </row>
    <row r="300" customFormat="false" ht="15" hidden="false" customHeight="false" outlineLevel="0" collapsed="false">
      <c r="B300" s="77" t="n">
        <v>283</v>
      </c>
      <c r="C300" s="78" t="n">
        <f aca="false">IF($D$11-B300&lt;0,0,$D$12)</f>
        <v>0</v>
      </c>
      <c r="D300" s="78" t="n">
        <f aca="false">IF(H299&lt;=$D$5,0,H299)</f>
        <v>3.78399999999999</v>
      </c>
      <c r="E300" s="78" t="n">
        <f aca="false">ABS(IF(C300=0,0,IF(D300&gt;C300,0,ROUNDUP(((C300-$D$6-D300)/$D$4),0))))</f>
        <v>0</v>
      </c>
      <c r="F300" s="78" t="n">
        <f aca="false">IF(AND(D300=0,E300=0),E300,IF(D300=0,E300-1,E300))</f>
        <v>0</v>
      </c>
      <c r="G300" s="78" t="n">
        <f aca="false">F300*$D$6</f>
        <v>0</v>
      </c>
      <c r="H300" s="79" t="n">
        <f aca="false">((E300*$D$3)-G300)-C300+D300</f>
        <v>3.78399999999999</v>
      </c>
    </row>
    <row r="301" customFormat="false" ht="15" hidden="false" customHeight="false" outlineLevel="0" collapsed="false">
      <c r="B301" s="77" t="n">
        <v>284</v>
      </c>
      <c r="C301" s="78" t="n">
        <f aca="false">IF($D$11-B301&lt;0,0,$D$12)</f>
        <v>0</v>
      </c>
      <c r="D301" s="78" t="n">
        <f aca="false">IF(H300&lt;=$D$5,0,H300)</f>
        <v>3.78399999999999</v>
      </c>
      <c r="E301" s="78" t="n">
        <f aca="false">ABS(IF(C301=0,0,IF(D301&gt;C301,0,ROUNDUP(((C301-$D$6-D301)/$D$4),0))))</f>
        <v>0</v>
      </c>
      <c r="F301" s="78" t="n">
        <f aca="false">IF(AND(D301=0,E301=0),E301,IF(D301=0,E301-1,E301))</f>
        <v>0</v>
      </c>
      <c r="G301" s="78" t="n">
        <f aca="false">F301*$D$6</f>
        <v>0</v>
      </c>
      <c r="H301" s="79" t="n">
        <f aca="false">((E301*$D$3)-G301)-C301+D301</f>
        <v>3.78399999999999</v>
      </c>
    </row>
    <row r="302" customFormat="false" ht="15" hidden="false" customHeight="false" outlineLevel="0" collapsed="false">
      <c r="B302" s="77" t="n">
        <v>285</v>
      </c>
      <c r="C302" s="78" t="n">
        <f aca="false">IF($D$11-B302&lt;0,0,$D$12)</f>
        <v>0</v>
      </c>
      <c r="D302" s="78" t="n">
        <f aca="false">IF(H301&lt;=$D$5,0,H301)</f>
        <v>3.78399999999999</v>
      </c>
      <c r="E302" s="78" t="n">
        <f aca="false">ABS(IF(C302=0,0,IF(D302&gt;C302,0,ROUNDUP(((C302-$D$6-D302)/$D$4),0))))</f>
        <v>0</v>
      </c>
      <c r="F302" s="78" t="n">
        <f aca="false">IF(AND(D302=0,E302=0),E302,IF(D302=0,E302-1,E302))</f>
        <v>0</v>
      </c>
      <c r="G302" s="78" t="n">
        <f aca="false">F302*$D$6</f>
        <v>0</v>
      </c>
      <c r="H302" s="79" t="n">
        <f aca="false">((E302*$D$3)-G302)-C302+D302</f>
        <v>3.78399999999999</v>
      </c>
    </row>
    <row r="303" customFormat="false" ht="15" hidden="false" customHeight="false" outlineLevel="0" collapsed="false">
      <c r="B303" s="77" t="n">
        <v>286</v>
      </c>
      <c r="C303" s="78" t="n">
        <f aca="false">IF($D$11-B303&lt;0,0,$D$12)</f>
        <v>0</v>
      </c>
      <c r="D303" s="78" t="n">
        <f aca="false">IF(H302&lt;=$D$5,0,H302)</f>
        <v>3.78399999999999</v>
      </c>
      <c r="E303" s="78" t="n">
        <f aca="false">ABS(IF(C303=0,0,IF(D303&gt;C303,0,ROUNDUP(((C303-$D$6-D303)/$D$4),0))))</f>
        <v>0</v>
      </c>
      <c r="F303" s="78" t="n">
        <f aca="false">IF(AND(D303=0,E303=0),E303,IF(D303=0,E303-1,E303))</f>
        <v>0</v>
      </c>
      <c r="G303" s="78" t="n">
        <f aca="false">F303*$D$6</f>
        <v>0</v>
      </c>
      <c r="H303" s="79" t="n">
        <f aca="false">((E303*$D$3)-G303)-C303+D303</f>
        <v>3.78399999999999</v>
      </c>
    </row>
    <row r="304" customFormat="false" ht="15" hidden="false" customHeight="false" outlineLevel="0" collapsed="false">
      <c r="B304" s="77" t="n">
        <v>287</v>
      </c>
      <c r="C304" s="78" t="n">
        <f aca="false">IF($D$11-B304&lt;0,0,$D$12)</f>
        <v>0</v>
      </c>
      <c r="D304" s="78" t="n">
        <f aca="false">IF(H303&lt;=$D$5,0,H303)</f>
        <v>3.78399999999999</v>
      </c>
      <c r="E304" s="78" t="n">
        <f aca="false">ABS(IF(C304=0,0,IF(D304&gt;C304,0,ROUNDUP(((C304-$D$6-D304)/$D$4),0))))</f>
        <v>0</v>
      </c>
      <c r="F304" s="78" t="n">
        <f aca="false">IF(AND(D304=0,E304=0),E304,IF(D304=0,E304-1,E304))</f>
        <v>0</v>
      </c>
      <c r="G304" s="78" t="n">
        <f aca="false">F304*$D$6</f>
        <v>0</v>
      </c>
      <c r="H304" s="79" t="n">
        <f aca="false">((E304*$D$3)-G304)-C304+D304</f>
        <v>3.78399999999999</v>
      </c>
    </row>
    <row r="305" customFormat="false" ht="15" hidden="false" customHeight="false" outlineLevel="0" collapsed="false">
      <c r="B305" s="77" t="n">
        <v>288</v>
      </c>
      <c r="C305" s="78" t="n">
        <f aca="false">IF($D$11-B305&lt;0,0,$D$12)</f>
        <v>0</v>
      </c>
      <c r="D305" s="78" t="n">
        <f aca="false">IF(H304&lt;=$D$5,0,H304)</f>
        <v>3.78399999999999</v>
      </c>
      <c r="E305" s="78" t="n">
        <f aca="false">ABS(IF(C305=0,0,IF(D305&gt;C305,0,ROUNDUP(((C305-$D$6-D305)/$D$4),0))))</f>
        <v>0</v>
      </c>
      <c r="F305" s="78" t="n">
        <f aca="false">IF(AND(D305=0,E305=0),E305,IF(D305=0,E305-1,E305))</f>
        <v>0</v>
      </c>
      <c r="G305" s="78" t="n">
        <f aca="false">F305*$D$6</f>
        <v>0</v>
      </c>
      <c r="H305" s="79" t="n">
        <f aca="false">((E305*$D$3)-G305)-C305+D305</f>
        <v>3.78399999999999</v>
      </c>
    </row>
    <row r="306" customFormat="false" ht="15" hidden="false" customHeight="false" outlineLevel="0" collapsed="false">
      <c r="B306" s="77" t="n">
        <v>289</v>
      </c>
      <c r="C306" s="78" t="n">
        <f aca="false">IF($D$11-B306&lt;0,0,$D$12)</f>
        <v>0</v>
      </c>
      <c r="D306" s="78" t="n">
        <f aca="false">IF(H305&lt;=$D$5,0,H305)</f>
        <v>3.78399999999999</v>
      </c>
      <c r="E306" s="78" t="n">
        <f aca="false">ABS(IF(C306=0,0,IF(D306&gt;C306,0,ROUNDUP(((C306-$D$6-D306)/$D$4),0))))</f>
        <v>0</v>
      </c>
      <c r="F306" s="78" t="n">
        <f aca="false">IF(AND(D306=0,E306=0),E306,IF(D306=0,E306-1,E306))</f>
        <v>0</v>
      </c>
      <c r="G306" s="78" t="n">
        <f aca="false">F306*$D$6</f>
        <v>0</v>
      </c>
      <c r="H306" s="79" t="n">
        <f aca="false">((E306*$D$3)-G306)-C306+D306</f>
        <v>3.78399999999999</v>
      </c>
    </row>
    <row r="307" customFormat="false" ht="15" hidden="false" customHeight="false" outlineLevel="0" collapsed="false">
      <c r="B307" s="77" t="n">
        <v>290</v>
      </c>
      <c r="C307" s="78" t="n">
        <f aca="false">IF($D$11-B307&lt;0,0,$D$12)</f>
        <v>0</v>
      </c>
      <c r="D307" s="78" t="n">
        <f aca="false">IF(H306&lt;=$D$5,0,H306)</f>
        <v>3.78399999999999</v>
      </c>
      <c r="E307" s="78" t="n">
        <f aca="false">ABS(IF(C307=0,0,IF(D307&gt;C307,0,ROUNDUP(((C307-$D$6-D307)/$D$4),0))))</f>
        <v>0</v>
      </c>
      <c r="F307" s="78" t="n">
        <f aca="false">IF(AND(D307=0,E307=0),E307,IF(D307=0,E307-1,E307))</f>
        <v>0</v>
      </c>
      <c r="G307" s="78" t="n">
        <f aca="false">F307*$D$6</f>
        <v>0</v>
      </c>
      <c r="H307" s="79" t="n">
        <f aca="false">((E307*$D$3)-G307)-C307+D307</f>
        <v>3.78399999999999</v>
      </c>
    </row>
    <row r="308" customFormat="false" ht="15" hidden="false" customHeight="false" outlineLevel="0" collapsed="false">
      <c r="B308" s="77" t="n">
        <v>291</v>
      </c>
      <c r="C308" s="78" t="n">
        <f aca="false">IF($D$11-B308&lt;0,0,$D$12)</f>
        <v>0</v>
      </c>
      <c r="D308" s="78" t="n">
        <f aca="false">IF(H307&lt;=$D$5,0,H307)</f>
        <v>3.78399999999999</v>
      </c>
      <c r="E308" s="78" t="n">
        <f aca="false">ABS(IF(C308=0,0,IF(D308&gt;C308,0,ROUNDUP(((C308-$D$6-D308)/$D$4),0))))</f>
        <v>0</v>
      </c>
      <c r="F308" s="78" t="n">
        <f aca="false">IF(AND(D308=0,E308=0),E308,IF(D308=0,E308-1,E308))</f>
        <v>0</v>
      </c>
      <c r="G308" s="78" t="n">
        <f aca="false">F308*$D$6</f>
        <v>0</v>
      </c>
      <c r="H308" s="79" t="n">
        <f aca="false">((E308*$D$3)-G308)-C308+D308</f>
        <v>3.78399999999999</v>
      </c>
    </row>
    <row r="309" customFormat="false" ht="15" hidden="false" customHeight="false" outlineLevel="0" collapsed="false">
      <c r="B309" s="77" t="n">
        <v>292</v>
      </c>
      <c r="C309" s="78" t="n">
        <f aca="false">IF($D$11-B309&lt;0,0,$D$12)</f>
        <v>0</v>
      </c>
      <c r="D309" s="78" t="n">
        <f aca="false">IF(H308&lt;=$D$5,0,H308)</f>
        <v>3.78399999999999</v>
      </c>
      <c r="E309" s="78" t="n">
        <f aca="false">ABS(IF(C309=0,0,IF(D309&gt;C309,0,ROUNDUP(((C309-$D$6-D309)/$D$4),0))))</f>
        <v>0</v>
      </c>
      <c r="F309" s="78" t="n">
        <f aca="false">IF(AND(D309=0,E309=0),E309,IF(D309=0,E309-1,E309))</f>
        <v>0</v>
      </c>
      <c r="G309" s="78" t="n">
        <f aca="false">F309*$D$6</f>
        <v>0</v>
      </c>
      <c r="H309" s="79" t="n">
        <f aca="false">((E309*$D$3)-G309)-C309+D309</f>
        <v>3.78399999999999</v>
      </c>
    </row>
    <row r="310" customFormat="false" ht="15" hidden="false" customHeight="false" outlineLevel="0" collapsed="false">
      <c r="B310" s="77" t="n">
        <v>293</v>
      </c>
      <c r="C310" s="78" t="n">
        <f aca="false">IF($D$11-B310&lt;0,0,$D$12)</f>
        <v>0</v>
      </c>
      <c r="D310" s="78" t="n">
        <f aca="false">IF(H309&lt;=$D$5,0,H309)</f>
        <v>3.78399999999999</v>
      </c>
      <c r="E310" s="78" t="n">
        <f aca="false">ABS(IF(C310=0,0,IF(D310&gt;C310,0,ROUNDUP(((C310-$D$6-D310)/$D$4),0))))</f>
        <v>0</v>
      </c>
      <c r="F310" s="78" t="n">
        <f aca="false">IF(AND(D310=0,E310=0),E310,IF(D310=0,E310-1,E310))</f>
        <v>0</v>
      </c>
      <c r="G310" s="78" t="n">
        <f aca="false">F310*$D$6</f>
        <v>0</v>
      </c>
      <c r="H310" s="79" t="n">
        <f aca="false">((E310*$D$3)-G310)-C310+D310</f>
        <v>3.78399999999999</v>
      </c>
    </row>
    <row r="311" customFormat="false" ht="15" hidden="false" customHeight="false" outlineLevel="0" collapsed="false">
      <c r="B311" s="77" t="n">
        <v>294</v>
      </c>
      <c r="C311" s="78" t="n">
        <f aca="false">IF($D$11-B311&lt;0,0,$D$12)</f>
        <v>0</v>
      </c>
      <c r="D311" s="78" t="n">
        <f aca="false">IF(H310&lt;=$D$5,0,H310)</f>
        <v>3.78399999999999</v>
      </c>
      <c r="E311" s="78" t="n">
        <f aca="false">ABS(IF(C311=0,0,IF(D311&gt;C311,0,ROUNDUP(((C311-$D$6-D311)/$D$4),0))))</f>
        <v>0</v>
      </c>
      <c r="F311" s="78" t="n">
        <f aca="false">IF(AND(D311=0,E311=0),E311,IF(D311=0,E311-1,E311))</f>
        <v>0</v>
      </c>
      <c r="G311" s="78" t="n">
        <f aca="false">F311*$D$6</f>
        <v>0</v>
      </c>
      <c r="H311" s="79" t="n">
        <f aca="false">((E311*$D$3)-G311)-C311+D311</f>
        <v>3.78399999999999</v>
      </c>
    </row>
    <row r="312" customFormat="false" ht="15" hidden="false" customHeight="false" outlineLevel="0" collapsed="false">
      <c r="B312" s="77" t="n">
        <v>295</v>
      </c>
      <c r="C312" s="78" t="n">
        <f aca="false">IF($D$11-B312&lt;0,0,$D$12)</f>
        <v>0</v>
      </c>
      <c r="D312" s="78" t="n">
        <f aca="false">IF(H311&lt;=$D$5,0,H311)</f>
        <v>3.78399999999999</v>
      </c>
      <c r="E312" s="78" t="n">
        <f aca="false">ABS(IF(C312=0,0,IF(D312&gt;C312,0,ROUNDUP(((C312-$D$6-D312)/$D$4),0))))</f>
        <v>0</v>
      </c>
      <c r="F312" s="78" t="n">
        <f aca="false">IF(AND(D312=0,E312=0),E312,IF(D312=0,E312-1,E312))</f>
        <v>0</v>
      </c>
      <c r="G312" s="78" t="n">
        <f aca="false">F312*$D$6</f>
        <v>0</v>
      </c>
      <c r="H312" s="79" t="n">
        <f aca="false">((E312*$D$3)-G312)-C312+D312</f>
        <v>3.78399999999999</v>
      </c>
    </row>
    <row r="313" customFormat="false" ht="15" hidden="false" customHeight="false" outlineLevel="0" collapsed="false">
      <c r="B313" s="77" t="n">
        <v>296</v>
      </c>
      <c r="C313" s="78" t="n">
        <f aca="false">IF($D$11-B313&lt;0,0,$D$12)</f>
        <v>0</v>
      </c>
      <c r="D313" s="78" t="n">
        <f aca="false">IF(H312&lt;=$D$5,0,H312)</f>
        <v>3.78399999999999</v>
      </c>
      <c r="E313" s="78" t="n">
        <f aca="false">ABS(IF(C313=0,0,IF(D313&gt;C313,0,ROUNDUP(((C313-$D$6-D313)/$D$4),0))))</f>
        <v>0</v>
      </c>
      <c r="F313" s="78" t="n">
        <f aca="false">IF(AND(D313=0,E313=0),E313,IF(D313=0,E313-1,E313))</f>
        <v>0</v>
      </c>
      <c r="G313" s="78" t="n">
        <f aca="false">F313*$D$6</f>
        <v>0</v>
      </c>
      <c r="H313" s="79" t="n">
        <f aca="false">((E313*$D$3)-G313)-C313+D313</f>
        <v>3.78399999999999</v>
      </c>
    </row>
    <row r="314" customFormat="false" ht="15" hidden="false" customHeight="false" outlineLevel="0" collapsed="false">
      <c r="B314" s="77" t="n">
        <v>297</v>
      </c>
      <c r="C314" s="78" t="n">
        <f aca="false">IF($D$11-B314&lt;0,0,$D$12)</f>
        <v>0</v>
      </c>
      <c r="D314" s="78" t="n">
        <f aca="false">IF(H313&lt;=$D$5,0,H313)</f>
        <v>3.78399999999999</v>
      </c>
      <c r="E314" s="78" t="n">
        <f aca="false">ABS(IF(C314=0,0,IF(D314&gt;C314,0,ROUNDUP(((C314-$D$6-D314)/$D$4),0))))</f>
        <v>0</v>
      </c>
      <c r="F314" s="78" t="n">
        <f aca="false">IF(AND(D314=0,E314=0),E314,IF(D314=0,E314-1,E314))</f>
        <v>0</v>
      </c>
      <c r="G314" s="78" t="n">
        <f aca="false">F314*$D$6</f>
        <v>0</v>
      </c>
      <c r="H314" s="79" t="n">
        <f aca="false">((E314*$D$3)-G314)-C314+D314</f>
        <v>3.78399999999999</v>
      </c>
    </row>
    <row r="315" customFormat="false" ht="15" hidden="false" customHeight="false" outlineLevel="0" collapsed="false">
      <c r="B315" s="77" t="n">
        <v>298</v>
      </c>
      <c r="C315" s="78" t="n">
        <f aca="false">IF($D$11-B315&lt;0,0,$D$12)</f>
        <v>0</v>
      </c>
      <c r="D315" s="78" t="n">
        <f aca="false">IF(H314&lt;=$D$5,0,H314)</f>
        <v>3.78399999999999</v>
      </c>
      <c r="E315" s="78" t="n">
        <f aca="false">ABS(IF(C315=0,0,IF(D315&gt;C315,0,ROUNDUP(((C315-$D$6-D315)/$D$4),0))))</f>
        <v>0</v>
      </c>
      <c r="F315" s="78" t="n">
        <f aca="false">IF(AND(D315=0,E315=0),E315,IF(D315=0,E315-1,E315))</f>
        <v>0</v>
      </c>
      <c r="G315" s="78" t="n">
        <f aca="false">F315*$D$6</f>
        <v>0</v>
      </c>
      <c r="H315" s="79" t="n">
        <f aca="false">((E315*$D$3)-G315)-C315+D315</f>
        <v>3.78399999999999</v>
      </c>
    </row>
    <row r="316" customFormat="false" ht="15" hidden="false" customHeight="false" outlineLevel="0" collapsed="false">
      <c r="B316" s="77" t="n">
        <v>299</v>
      </c>
      <c r="C316" s="78" t="n">
        <f aca="false">IF($D$11-B316&lt;0,0,$D$12)</f>
        <v>0</v>
      </c>
      <c r="D316" s="78" t="n">
        <f aca="false">IF(H315&lt;=$D$5,0,H315)</f>
        <v>3.78399999999999</v>
      </c>
      <c r="E316" s="78" t="n">
        <f aca="false">ABS(IF(C316=0,0,IF(D316&gt;C316,0,ROUNDUP(((C316-$D$6-D316)/$D$4),0))))</f>
        <v>0</v>
      </c>
      <c r="F316" s="78" t="n">
        <f aca="false">IF(AND(D316=0,E316=0),E316,IF(D316=0,E316-1,E316))</f>
        <v>0</v>
      </c>
      <c r="G316" s="78" t="n">
        <f aca="false">F316*$D$6</f>
        <v>0</v>
      </c>
      <c r="H316" s="79" t="n">
        <f aca="false">((E316*$D$3)-G316)-C316+D316</f>
        <v>3.78399999999999</v>
      </c>
    </row>
    <row r="317" customFormat="false" ht="15.75" hidden="false" customHeight="false" outlineLevel="0" collapsed="false">
      <c r="B317" s="80" t="n">
        <v>300</v>
      </c>
      <c r="C317" s="81" t="n">
        <f aca="false">IF($D$11-B317&lt;0,0,$D$12)</f>
        <v>0</v>
      </c>
      <c r="D317" s="81" t="n">
        <f aca="false">IF(H316&lt;=$D$5,0,H316)</f>
        <v>3.78399999999999</v>
      </c>
      <c r="E317" s="81" t="n">
        <f aca="false">ABS(IF(C317=0,0,IF(D317&gt;C317,0,ROUNDUP(((C317-$D$6-D317)/$D$4),0))))</f>
        <v>0</v>
      </c>
      <c r="F317" s="81" t="n">
        <f aca="false">IF(AND(D317=0,E317=0),E317,IF(D317=0,E317-1,E317))</f>
        <v>0</v>
      </c>
      <c r="G317" s="81" t="n">
        <f aca="false">F317*$D$6</f>
        <v>0</v>
      </c>
      <c r="H317" s="82" t="n">
        <f aca="false">((E317*$D$3)-G317)-C317+D317</f>
        <v>3.78399999999999</v>
      </c>
    </row>
  </sheetData>
  <mergeCells count="16">
    <mergeCell ref="B2:D2"/>
    <mergeCell ref="F2:G2"/>
    <mergeCell ref="B3:C3"/>
    <mergeCell ref="B4:C4"/>
    <mergeCell ref="B5:C5"/>
    <mergeCell ref="B6:C6"/>
    <mergeCell ref="B7:C7"/>
    <mergeCell ref="B8:C8"/>
    <mergeCell ref="F9:G9"/>
    <mergeCell ref="B10:D10"/>
    <mergeCell ref="B11:C11"/>
    <mergeCell ref="F11:G11"/>
    <mergeCell ref="B12:C12"/>
    <mergeCell ref="F12:G12"/>
    <mergeCell ref="B13:C13"/>
    <mergeCell ref="B16:H16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00B0F0"/>
    <pageSetUpPr fitToPage="false"/>
  </sheetPr>
  <dimension ref="B2:C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4" activeCellId="0" sqref="C14"/>
    </sheetView>
  </sheetViews>
  <sheetFormatPr defaultColWidth="8.6953125" defaultRowHeight="15" zeroHeight="false" outlineLevelRow="0" outlineLevelCol="0"/>
  <cols>
    <col collapsed="false" customWidth="true" hidden="false" outlineLevel="0" max="2" min="2" style="0" width="19.57"/>
    <col collapsed="false" customWidth="true" hidden="false" outlineLevel="0" max="3" min="3" style="0" width="10.13"/>
  </cols>
  <sheetData>
    <row r="2" customFormat="false" ht="15" hidden="false" customHeight="false" outlineLevel="0" collapsed="false">
      <c r="B2" s="83" t="s">
        <v>6</v>
      </c>
      <c r="C2" s="0" t="s">
        <v>7</v>
      </c>
    </row>
    <row r="3" customFormat="false" ht="15" hidden="false" customHeight="false" outlineLevel="0" collapsed="false">
      <c r="B3" s="83"/>
      <c r="C3" s="0" t="s">
        <v>4066</v>
      </c>
    </row>
    <row r="4" customFormat="false" ht="15" hidden="false" customHeight="false" outlineLevel="0" collapsed="false">
      <c r="B4" s="83" t="s">
        <v>13</v>
      </c>
      <c r="C4" s="0" t="s">
        <v>14</v>
      </c>
    </row>
    <row r="5" customFormat="false" ht="15" hidden="false" customHeight="false" outlineLevel="0" collapsed="false">
      <c r="B5" s="83"/>
      <c r="C5" s="0" t="s">
        <v>4067</v>
      </c>
    </row>
    <row r="6" customFormat="false" ht="15" hidden="false" customHeight="false" outlineLevel="0" collapsed="false">
      <c r="B6" s="83" t="s">
        <v>4068</v>
      </c>
      <c r="C6" s="0" t="s">
        <v>4069</v>
      </c>
    </row>
    <row r="7" customFormat="false" ht="15" hidden="false" customHeight="false" outlineLevel="0" collapsed="false">
      <c r="B7" s="83"/>
      <c r="C7" s="0" t="s">
        <v>41</v>
      </c>
    </row>
    <row r="8" customFormat="false" ht="15" hidden="false" customHeight="false" outlineLevel="0" collapsed="false">
      <c r="B8" s="83" t="s">
        <v>4070</v>
      </c>
      <c r="C8" s="0" t="s">
        <v>4069</v>
      </c>
    </row>
    <row r="9" customFormat="false" ht="15" hidden="false" customHeight="false" outlineLevel="0" collapsed="false">
      <c r="B9" s="83"/>
      <c r="C9" s="0" t="s">
        <v>41</v>
      </c>
    </row>
    <row r="10" customFormat="false" ht="15" hidden="false" customHeight="false" outlineLevel="0" collapsed="false">
      <c r="B10" s="0" t="s">
        <v>4071</v>
      </c>
      <c r="C10" s="0" t="n">
        <v>5</v>
      </c>
    </row>
    <row r="11" customFormat="false" ht="15" hidden="false" customHeight="false" outlineLevel="0" collapsed="false">
      <c r="B11" s="0" t="s">
        <v>4072</v>
      </c>
      <c r="C11" s="0" t="n">
        <v>90</v>
      </c>
    </row>
    <row r="12" customFormat="false" ht="15" hidden="false" customHeight="false" outlineLevel="0" collapsed="false">
      <c r="B12" s="83" t="s">
        <v>4073</v>
      </c>
      <c r="C12" s="0" t="s">
        <v>4074</v>
      </c>
    </row>
    <row r="13" customFormat="false" ht="15" hidden="false" customHeight="false" outlineLevel="0" collapsed="false">
      <c r="B13" s="83"/>
      <c r="C13" s="0" t="s">
        <v>45</v>
      </c>
    </row>
  </sheetData>
  <mergeCells count="5">
    <mergeCell ref="B2:B3"/>
    <mergeCell ref="B4:B5"/>
    <mergeCell ref="B6:B7"/>
    <mergeCell ref="B8:B9"/>
    <mergeCell ref="B12:B1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2021-02-15T09:17:41Z</dcterms:created>
  <dc:creator>van der Ham, Jannes (UB-NL)</dc:creator>
  <dc:description/>
  <dc:language>en-US</dc:language>
  <cp:lastModifiedBy/>
  <dcterms:modified xsi:type="dcterms:W3CDTF">2021-02-24T13:28:52Z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